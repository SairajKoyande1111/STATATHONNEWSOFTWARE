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PLFS\PLFSAnnual2025-P5\RELEASE\FINAL_DATA_2025\QUARTERLY_2025\QUARTERLY_TXT_2025\"/>
    </mc:Choice>
  </mc:AlternateContent>
  <xr:revisionPtr revIDLastSave="0" documentId="13_ncr:1_{AB223081-AC2B-49F4-A6BD-6E9B9B3946D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 Layout" sheetId="1" r:id="rId1"/>
    <sheet name="MHH_Q2_Q4_2025" sheetId="11" r:id="rId2"/>
    <sheet name="MPER_Q2_Q4_2025" sheetId="12" r:id="rId3"/>
    <sheet name="hhrv" sheetId="5" state="hidden" r:id="rId4"/>
    <sheet name="perrv" sheetId="6" state="hidden" r:id="rId5"/>
    <sheet name="perv1 (2)" sheetId="10" state="hidden" r:id="rId6"/>
  </sheets>
  <definedNames>
    <definedName name="_xlnm._FilterDatabase" localSheetId="1" hidden="1">MHH_Q2_Q4_2025!$B$1:$G$40</definedName>
    <definedName name="_xlnm._FilterDatabase" localSheetId="2" hidden="1">MPER_Q2_Q4_2025!$B$1:$J$109</definedName>
    <definedName name="_xlnm._FilterDatabase" localSheetId="5" hidden="1">'perv1 (2)'!$A$1:$P$186</definedName>
    <definedName name="_Hlk183704667" localSheetId="0">'Data Layout'!#REF!</definedName>
    <definedName name="_Hlk183705042" localSheetId="0">'Data Layout'!#REF!</definedName>
    <definedName name="_Hlk183705232" localSheetId="0">'Data Layout'!#REF!</definedName>
    <definedName name="_Hlk183705312" localSheetId="0">'Data Layout'!#REF!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2" l="1"/>
  <c r="G2" i="12" s="1"/>
  <c r="F3" i="12" s="1"/>
  <c r="G3" i="12" s="1"/>
  <c r="F4" i="12" s="1"/>
  <c r="G4" i="12" s="1"/>
  <c r="F5" i="12" s="1"/>
  <c r="G5" i="12" s="1"/>
  <c r="F6" i="12" s="1"/>
  <c r="G6" i="12" s="1"/>
  <c r="F7" i="12" s="1"/>
  <c r="G7" i="12" s="1"/>
  <c r="F8" i="12" s="1"/>
  <c r="G8" i="12" s="1"/>
  <c r="F9" i="12" s="1"/>
  <c r="G9" i="12" s="1"/>
  <c r="F10" i="12" s="1"/>
  <c r="G10" i="12" s="1"/>
  <c r="F11" i="12" s="1"/>
  <c r="G11" i="12" s="1"/>
  <c r="F12" i="12" s="1"/>
  <c r="G12" i="12" s="1"/>
  <c r="F13" i="12" s="1"/>
  <c r="G13" i="12" s="1"/>
  <c r="F14" i="12" s="1"/>
  <c r="G14" i="12" s="1"/>
  <c r="F15" i="12" s="1"/>
  <c r="G15" i="12" s="1"/>
  <c r="F16" i="12" s="1"/>
  <c r="G16" i="12" s="1"/>
  <c r="F17" i="12" s="1"/>
  <c r="G17" i="12" s="1"/>
  <c r="F18" i="12" s="1"/>
  <c r="G18" i="12" s="1"/>
  <c r="F19" i="12" s="1"/>
  <c r="G19" i="12" s="1"/>
  <c r="F20" i="12" s="1"/>
  <c r="G20" i="12" s="1"/>
  <c r="F21" i="12" s="1"/>
  <c r="G21" i="12" s="1"/>
  <c r="F22" i="12" s="1"/>
  <c r="G22" i="12" s="1"/>
  <c r="F23" i="12" s="1"/>
  <c r="G23" i="12" s="1"/>
  <c r="F24" i="12" s="1"/>
  <c r="G24" i="12" s="1"/>
  <c r="F25" i="12" s="1"/>
  <c r="G25" i="12" s="1"/>
  <c r="F26" i="12" s="1"/>
  <c r="G26" i="12" s="1"/>
  <c r="F27" i="12" s="1"/>
  <c r="G27" i="12" s="1"/>
  <c r="F28" i="12" s="1"/>
  <c r="G28" i="12" s="1"/>
  <c r="F29" i="12" s="1"/>
  <c r="G29" i="12" s="1"/>
  <c r="F30" i="12" s="1"/>
  <c r="G30" i="12" s="1"/>
  <c r="F31" i="12" s="1"/>
  <c r="G31" i="12" s="1"/>
  <c r="F32" i="12" s="1"/>
  <c r="G32" i="12" s="1"/>
  <c r="F33" i="12" s="1"/>
  <c r="G33" i="12" s="1"/>
  <c r="F34" i="12" s="1"/>
  <c r="G34" i="12" s="1"/>
  <c r="F35" i="12" s="1"/>
  <c r="G35" i="12" s="1"/>
  <c r="F36" i="12" s="1"/>
  <c r="G36" i="12" s="1"/>
  <c r="F37" i="12" s="1"/>
  <c r="G37" i="12" s="1"/>
  <c r="F38" i="12" s="1"/>
  <c r="G38" i="12" s="1"/>
  <c r="F39" i="12" s="1"/>
  <c r="G39" i="12" s="1"/>
  <c r="F40" i="12" s="1"/>
  <c r="G40" i="12" s="1"/>
  <c r="F41" i="12" s="1"/>
  <c r="G41" i="12" s="1"/>
  <c r="F42" i="12" s="1"/>
  <c r="G42" i="12" s="1"/>
  <c r="F43" i="12" s="1"/>
  <c r="G43" i="12" s="1"/>
  <c r="F44" i="12" s="1"/>
  <c r="G44" i="12" s="1"/>
  <c r="F45" i="12" s="1"/>
  <c r="G45" i="12" s="1"/>
  <c r="F46" i="12" s="1"/>
  <c r="G46" i="12" s="1"/>
  <c r="F47" i="12" s="1"/>
  <c r="G47" i="12" s="1"/>
  <c r="F48" i="12" s="1"/>
  <c r="G48" i="12" s="1"/>
  <c r="F49" i="12" s="1"/>
  <c r="G49" i="12" s="1"/>
  <c r="F50" i="12" s="1"/>
  <c r="G50" i="12" s="1"/>
  <c r="F51" i="12" s="1"/>
  <c r="G51" i="12" s="1"/>
  <c r="F52" i="12" s="1"/>
  <c r="G52" i="12" s="1"/>
  <c r="F53" i="12" s="1"/>
  <c r="G53" i="12" s="1"/>
  <c r="F54" i="12" s="1"/>
  <c r="G54" i="12" s="1"/>
  <c r="F55" i="12" s="1"/>
  <c r="G55" i="12" s="1"/>
  <c r="F56" i="12" s="1"/>
  <c r="G56" i="12" s="1"/>
  <c r="F57" i="12" s="1"/>
  <c r="G57" i="12" s="1"/>
  <c r="F58" i="12" s="1"/>
  <c r="G58" i="12" s="1"/>
  <c r="F59" i="12" s="1"/>
  <c r="G59" i="12" s="1"/>
  <c r="F60" i="12" s="1"/>
  <c r="G60" i="12" s="1"/>
  <c r="F61" i="12" s="1"/>
  <c r="G61" i="12" s="1"/>
  <c r="F62" i="12" s="1"/>
  <c r="G62" i="12" s="1"/>
  <c r="F63" i="12" s="1"/>
  <c r="G63" i="12" s="1"/>
  <c r="F64" i="12" s="1"/>
  <c r="G64" i="12" s="1"/>
  <c r="F65" i="12" s="1"/>
  <c r="G65" i="12" s="1"/>
  <c r="F66" i="12" s="1"/>
  <c r="G66" i="12" s="1"/>
  <c r="F67" i="12" s="1"/>
  <c r="G67" i="12" s="1"/>
  <c r="F68" i="12" s="1"/>
  <c r="G68" i="12" s="1"/>
  <c r="F69" i="12" s="1"/>
  <c r="G69" i="12" s="1"/>
  <c r="F70" i="12" s="1"/>
  <c r="G70" i="12" s="1"/>
  <c r="F71" i="12" s="1"/>
  <c r="G71" i="12" s="1"/>
  <c r="F72" i="12" s="1"/>
  <c r="G72" i="12" s="1"/>
  <c r="F73" i="12" s="1"/>
  <c r="G73" i="12" s="1"/>
  <c r="F74" i="12" s="1"/>
  <c r="G74" i="12" s="1"/>
  <c r="F75" i="12" s="1"/>
  <c r="G75" i="12" s="1"/>
  <c r="F76" i="12" s="1"/>
  <c r="G76" i="12" s="1"/>
  <c r="F77" i="12" s="1"/>
  <c r="G77" i="12" s="1"/>
  <c r="F78" i="12" s="1"/>
  <c r="G78" i="12" s="1"/>
  <c r="F79" i="12" s="1"/>
  <c r="G79" i="12" s="1"/>
  <c r="F80" i="12" s="1"/>
  <c r="G80" i="12" s="1"/>
  <c r="F81" i="12" s="1"/>
  <c r="G81" i="12" s="1"/>
  <c r="F82" i="12" s="1"/>
  <c r="G82" i="12" s="1"/>
  <c r="F83" i="12" s="1"/>
  <c r="G83" i="12" s="1"/>
  <c r="F84" i="12" s="1"/>
  <c r="G84" i="12" s="1"/>
  <c r="F85" i="12" s="1"/>
  <c r="G85" i="12" s="1"/>
  <c r="F86" i="12" s="1"/>
  <c r="G86" i="12" s="1"/>
  <c r="F87" i="12" s="1"/>
  <c r="G87" i="12" s="1"/>
  <c r="F88" i="12" s="1"/>
  <c r="G88" i="12" s="1"/>
  <c r="F89" i="12" s="1"/>
  <c r="G89" i="12" s="1"/>
  <c r="F90" i="12" s="1"/>
  <c r="G90" i="12" s="1"/>
  <c r="F91" i="12" s="1"/>
  <c r="G91" i="12" s="1"/>
  <c r="F92" i="12" s="1"/>
  <c r="G92" i="12" s="1"/>
  <c r="F93" i="12" s="1"/>
  <c r="G93" i="12" s="1"/>
  <c r="F94" i="12" s="1"/>
  <c r="G94" i="12" s="1"/>
  <c r="F95" i="12" s="1"/>
  <c r="G95" i="12" s="1"/>
  <c r="F96" i="12" s="1"/>
  <c r="G96" i="12" s="1"/>
  <c r="F97" i="12" s="1"/>
  <c r="G97" i="12" s="1"/>
  <c r="F98" i="12" s="1"/>
  <c r="G98" i="12" s="1"/>
  <c r="F99" i="12" s="1"/>
  <c r="G99" i="12" s="1"/>
  <c r="F100" i="12" s="1"/>
  <c r="G100" i="12" s="1"/>
  <c r="F101" i="12" s="1"/>
  <c r="G101" i="12" s="1"/>
  <c r="F102" i="12" s="1"/>
  <c r="G102" i="12" s="1"/>
  <c r="F103" i="12" s="1"/>
  <c r="G103" i="12" s="1"/>
  <c r="F104" i="12" s="1"/>
  <c r="G104" i="12" s="1"/>
  <c r="F105" i="12" s="1"/>
  <c r="G105" i="12" s="1"/>
  <c r="F106" i="12" s="1"/>
  <c r="G106" i="12" s="1"/>
  <c r="F107" i="12" s="1"/>
  <c r="G107" i="12" s="1"/>
  <c r="F108" i="12" s="1"/>
  <c r="G108" i="12" s="1"/>
  <c r="F109" i="12" s="1"/>
  <c r="G109" i="12" s="1"/>
  <c r="F2" i="11"/>
  <c r="G2" i="11" s="1"/>
  <c r="F3" i="11" s="1"/>
  <c r="G3" i="11" s="1"/>
  <c r="F4" i="11" s="1"/>
  <c r="G4" i="11" s="1"/>
  <c r="F5" i="11" s="1"/>
  <c r="G5" i="11" s="1"/>
  <c r="F6" i="11" s="1"/>
  <c r="G6" i="11" s="1"/>
  <c r="F7" i="11" s="1"/>
  <c r="G7" i="11" s="1"/>
  <c r="F8" i="11" s="1"/>
  <c r="G8" i="11" s="1"/>
  <c r="F9" i="11" s="1"/>
  <c r="G9" i="11" s="1"/>
  <c r="F10" i="11" s="1"/>
  <c r="G10" i="11" s="1"/>
  <c r="F11" i="11" s="1"/>
  <c r="G11" i="11" s="1"/>
  <c r="F12" i="11" s="1"/>
  <c r="G12" i="11" s="1"/>
  <c r="F13" i="11" s="1"/>
  <c r="G13" i="11" s="1"/>
  <c r="F14" i="11" s="1"/>
  <c r="G14" i="11" s="1"/>
  <c r="F15" i="11" s="1"/>
  <c r="G15" i="11" s="1"/>
  <c r="F16" i="11" s="1"/>
  <c r="G16" i="11" s="1"/>
  <c r="F17" i="11" s="1"/>
  <c r="G17" i="11" s="1"/>
  <c r="F18" i="11" s="1"/>
  <c r="G18" i="11" s="1"/>
  <c r="F19" i="11" s="1"/>
  <c r="G19" i="11" s="1"/>
  <c r="F20" i="11" s="1"/>
  <c r="G20" i="11" s="1"/>
  <c r="F21" i="11" s="1"/>
  <c r="G21" i="11" s="1"/>
  <c r="F22" i="11" s="1"/>
  <c r="G22" i="11" s="1"/>
  <c r="F23" i="11" s="1"/>
  <c r="G23" i="11" s="1"/>
  <c r="F24" i="11" s="1"/>
  <c r="G24" i="11" s="1"/>
  <c r="F25" i="11" s="1"/>
  <c r="G25" i="11" s="1"/>
  <c r="F26" i="11" s="1"/>
  <c r="G26" i="11" s="1"/>
  <c r="F27" i="11" s="1"/>
  <c r="G27" i="11" s="1"/>
  <c r="F28" i="11" s="1"/>
  <c r="G28" i="11" s="1"/>
  <c r="F29" i="11" s="1"/>
  <c r="G29" i="11" s="1"/>
  <c r="F30" i="11" s="1"/>
  <c r="G30" i="11" s="1"/>
  <c r="F31" i="11" s="1"/>
  <c r="G31" i="11" s="1"/>
  <c r="F32" i="11" s="1"/>
  <c r="G32" i="11" s="1"/>
  <c r="F33" i="11" s="1"/>
  <c r="G33" i="11" s="1"/>
  <c r="F34" i="11" s="1"/>
  <c r="G34" i="11" s="1"/>
  <c r="F35" i="11" s="1"/>
  <c r="G35" i="11" s="1"/>
  <c r="F36" i="11" s="1"/>
  <c r="G36" i="11" s="1"/>
  <c r="F37" i="11" s="1"/>
  <c r="G37" i="11" s="1"/>
  <c r="F38" i="11" s="1"/>
  <c r="G38" i="11" s="1"/>
  <c r="F39" i="11" s="1"/>
  <c r="G39" i="11" s="1"/>
  <c r="F40" i="11" s="1"/>
  <c r="G40" i="11" s="1"/>
  <c r="N186" i="10" l="1"/>
  <c r="J186" i="10"/>
  <c r="N185" i="10"/>
  <c r="J185" i="10"/>
  <c r="N184" i="10"/>
  <c r="J184" i="10"/>
  <c r="N183" i="10"/>
  <c r="J183" i="10"/>
  <c r="N182" i="10"/>
  <c r="J182" i="10"/>
  <c r="N181" i="10"/>
  <c r="J181" i="10"/>
  <c r="N180" i="10"/>
  <c r="J180" i="10"/>
  <c r="N179" i="10"/>
  <c r="J179" i="10"/>
  <c r="N178" i="10"/>
  <c r="J178" i="10"/>
  <c r="N177" i="10"/>
  <c r="J177" i="10"/>
  <c r="N176" i="10"/>
  <c r="J176" i="10"/>
  <c r="N175" i="10"/>
  <c r="J175" i="10"/>
  <c r="N174" i="10"/>
  <c r="J174" i="10"/>
  <c r="N173" i="10"/>
  <c r="J173" i="10"/>
  <c r="N172" i="10"/>
  <c r="J172" i="10"/>
  <c r="N171" i="10"/>
  <c r="J171" i="10"/>
  <c r="N170" i="10"/>
  <c r="J170" i="10"/>
  <c r="N169" i="10"/>
  <c r="J169" i="10"/>
  <c r="N168" i="10"/>
  <c r="J168" i="10"/>
  <c r="N167" i="10"/>
  <c r="J167" i="10"/>
  <c r="N166" i="10"/>
  <c r="J166" i="10"/>
  <c r="N165" i="10"/>
  <c r="J165" i="10"/>
  <c r="N164" i="10"/>
  <c r="J164" i="10"/>
  <c r="N163" i="10"/>
  <c r="J163" i="10"/>
  <c r="N162" i="10"/>
  <c r="J162" i="10"/>
  <c r="N161" i="10"/>
  <c r="J161" i="10"/>
  <c r="N160" i="10"/>
  <c r="J160" i="10"/>
  <c r="N159" i="10"/>
  <c r="J159" i="10"/>
  <c r="N158" i="10"/>
  <c r="J158" i="10"/>
  <c r="N157" i="10"/>
  <c r="J157" i="10"/>
  <c r="N156" i="10"/>
  <c r="J156" i="10"/>
  <c r="N155" i="10"/>
  <c r="J155" i="10"/>
  <c r="N154" i="10"/>
  <c r="J154" i="10"/>
  <c r="N153" i="10"/>
  <c r="J153" i="10"/>
  <c r="N152" i="10"/>
  <c r="J152" i="10"/>
  <c r="N151" i="10"/>
  <c r="I151" i="10"/>
  <c r="J151" i="10" s="1"/>
  <c r="H151" i="10"/>
  <c r="G151" i="10"/>
  <c r="N150" i="10"/>
  <c r="I150" i="10"/>
  <c r="J150" i="10" s="1"/>
  <c r="H150" i="10"/>
  <c r="G150" i="10"/>
  <c r="N149" i="10"/>
  <c r="I149" i="10"/>
  <c r="J149" i="10" s="1"/>
  <c r="H149" i="10"/>
  <c r="G149" i="10"/>
  <c r="N148" i="10"/>
  <c r="I148" i="10"/>
  <c r="J148" i="10" s="1"/>
  <c r="H148" i="10"/>
  <c r="G148" i="10"/>
  <c r="N147" i="10"/>
  <c r="I147" i="10"/>
  <c r="J147" i="10" s="1"/>
  <c r="H147" i="10"/>
  <c r="G147" i="10"/>
  <c r="N146" i="10"/>
  <c r="J146" i="10"/>
  <c r="I146" i="10"/>
  <c r="H146" i="10"/>
  <c r="G146" i="10"/>
  <c r="N145" i="10"/>
  <c r="I145" i="10"/>
  <c r="J145" i="10" s="1"/>
  <c r="H145" i="10"/>
  <c r="G145" i="10"/>
  <c r="N144" i="10"/>
  <c r="J144" i="10"/>
  <c r="I144" i="10"/>
  <c r="H144" i="10"/>
  <c r="G144" i="10"/>
  <c r="N143" i="10"/>
  <c r="I143" i="10"/>
  <c r="J143" i="10" s="1"/>
  <c r="H143" i="10"/>
  <c r="G143" i="10"/>
  <c r="O142" i="10"/>
  <c r="J142" i="10"/>
  <c r="I142" i="10"/>
  <c r="H142" i="10"/>
  <c r="G142" i="10"/>
  <c r="O141" i="10"/>
  <c r="I141" i="10"/>
  <c r="J141" i="10" s="1"/>
  <c r="H141" i="10"/>
  <c r="G141" i="10"/>
  <c r="N140" i="10"/>
  <c r="I140" i="10"/>
  <c r="J140" i="10" s="1"/>
  <c r="H140" i="10"/>
  <c r="G140" i="10"/>
  <c r="N139" i="10"/>
  <c r="I139" i="10"/>
  <c r="J139" i="10" s="1"/>
  <c r="H139" i="10"/>
  <c r="G139" i="10"/>
  <c r="N138" i="10"/>
  <c r="I138" i="10"/>
  <c r="J138" i="10" s="1"/>
  <c r="H138" i="10"/>
  <c r="G138" i="10"/>
  <c r="N137" i="10"/>
  <c r="I137" i="10"/>
  <c r="J137" i="10" s="1"/>
  <c r="H137" i="10"/>
  <c r="G137" i="10"/>
  <c r="N136" i="10"/>
  <c r="I136" i="10"/>
  <c r="J136" i="10" s="1"/>
  <c r="H136" i="10"/>
  <c r="G136" i="10"/>
  <c r="N135" i="10"/>
  <c r="I135" i="10"/>
  <c r="J135" i="10" s="1"/>
  <c r="H135" i="10"/>
  <c r="G135" i="10"/>
  <c r="N134" i="10"/>
  <c r="I134" i="10"/>
  <c r="J134" i="10" s="1"/>
  <c r="H134" i="10"/>
  <c r="G134" i="10"/>
  <c r="N133" i="10"/>
  <c r="I133" i="10"/>
  <c r="J133" i="10" s="1"/>
  <c r="H133" i="10"/>
  <c r="G133" i="10"/>
  <c r="N132" i="10"/>
  <c r="J132" i="10"/>
  <c r="I132" i="10"/>
  <c r="H132" i="10"/>
  <c r="G132" i="10"/>
  <c r="N131" i="10"/>
  <c r="I131" i="10"/>
  <c r="J131" i="10" s="1"/>
  <c r="H131" i="10"/>
  <c r="G131" i="10"/>
  <c r="N130" i="10"/>
  <c r="I130" i="10"/>
  <c r="J130" i="10" s="1"/>
  <c r="H130" i="10"/>
  <c r="G130" i="10"/>
  <c r="N129" i="10"/>
  <c r="I129" i="10"/>
  <c r="J129" i="10" s="1"/>
  <c r="H129" i="10"/>
  <c r="G129" i="10"/>
  <c r="N128" i="10"/>
  <c r="J128" i="10"/>
  <c r="I128" i="10"/>
  <c r="H128" i="10"/>
  <c r="G128" i="10"/>
  <c r="N127" i="10"/>
  <c r="I127" i="10"/>
  <c r="J127" i="10" s="1"/>
  <c r="H127" i="10"/>
  <c r="G127" i="10"/>
  <c r="N126" i="10"/>
  <c r="J126" i="10"/>
  <c r="I126" i="10"/>
  <c r="H126" i="10"/>
  <c r="G126" i="10"/>
  <c r="N125" i="10"/>
  <c r="I125" i="10"/>
  <c r="J125" i="10" s="1"/>
  <c r="H125" i="10"/>
  <c r="G125" i="10"/>
  <c r="N124" i="10"/>
  <c r="J124" i="10"/>
  <c r="I124" i="10"/>
  <c r="H124" i="10"/>
  <c r="G124" i="10"/>
  <c r="N123" i="10"/>
  <c r="I123" i="10"/>
  <c r="J123" i="10" s="1"/>
  <c r="H123" i="10"/>
  <c r="G123" i="10"/>
  <c r="N122" i="10"/>
  <c r="I122" i="10"/>
  <c r="J122" i="10" s="1"/>
  <c r="H122" i="10"/>
  <c r="G122" i="10"/>
  <c r="N121" i="10"/>
  <c r="I121" i="10"/>
  <c r="J121" i="10" s="1"/>
  <c r="H121" i="10"/>
  <c r="G121" i="10"/>
  <c r="N120" i="10"/>
  <c r="I120" i="10"/>
  <c r="J120" i="10" s="1"/>
  <c r="H120" i="10"/>
  <c r="G120" i="10"/>
  <c r="N119" i="10"/>
  <c r="I119" i="10"/>
  <c r="J119" i="10" s="1"/>
  <c r="H119" i="10"/>
  <c r="G119" i="10"/>
  <c r="N118" i="10"/>
  <c r="I118" i="10"/>
  <c r="J118" i="10" s="1"/>
  <c r="H118" i="10"/>
  <c r="G118" i="10"/>
  <c r="N117" i="10"/>
  <c r="I117" i="10"/>
  <c r="J117" i="10" s="1"/>
  <c r="H117" i="10"/>
  <c r="G117" i="10"/>
  <c r="N116" i="10"/>
  <c r="J116" i="10"/>
  <c r="I116" i="10"/>
  <c r="H116" i="10"/>
  <c r="G116" i="10"/>
  <c r="N115" i="10"/>
  <c r="I115" i="10"/>
  <c r="J115" i="10" s="1"/>
  <c r="H115" i="10"/>
  <c r="G115" i="10"/>
  <c r="N114" i="10"/>
  <c r="J114" i="10"/>
  <c r="I114" i="10"/>
  <c r="H114" i="10"/>
  <c r="G114" i="10"/>
  <c r="N113" i="10"/>
  <c r="I113" i="10"/>
  <c r="J113" i="10" s="1"/>
  <c r="H113" i="10"/>
  <c r="G113" i="10"/>
  <c r="N112" i="10"/>
  <c r="I112" i="10"/>
  <c r="J112" i="10" s="1"/>
  <c r="H112" i="10"/>
  <c r="G112" i="10"/>
  <c r="N111" i="10"/>
  <c r="I111" i="10"/>
  <c r="J111" i="10" s="1"/>
  <c r="H111" i="10"/>
  <c r="G111" i="10"/>
  <c r="N110" i="10"/>
  <c r="I110" i="10"/>
  <c r="J110" i="10" s="1"/>
  <c r="H110" i="10"/>
  <c r="G110" i="10"/>
  <c r="N109" i="10"/>
  <c r="I109" i="10"/>
  <c r="J109" i="10" s="1"/>
  <c r="H109" i="10"/>
  <c r="G109" i="10"/>
  <c r="N108" i="10"/>
  <c r="J108" i="10"/>
  <c r="I108" i="10"/>
  <c r="H108" i="10"/>
  <c r="G108" i="10"/>
  <c r="N107" i="10"/>
  <c r="J107" i="10"/>
  <c r="I107" i="10"/>
  <c r="H107" i="10"/>
  <c r="G107" i="10"/>
  <c r="N106" i="10"/>
  <c r="J106" i="10"/>
  <c r="I106" i="10"/>
  <c r="H106" i="10"/>
  <c r="G106" i="10"/>
  <c r="N105" i="10"/>
  <c r="I105" i="10"/>
  <c r="J105" i="10" s="1"/>
  <c r="H105" i="10"/>
  <c r="G105" i="10"/>
  <c r="N104" i="10"/>
  <c r="J104" i="10"/>
  <c r="I104" i="10"/>
  <c r="H104" i="10"/>
  <c r="G104" i="10"/>
  <c r="N103" i="10"/>
  <c r="I103" i="10"/>
  <c r="J103" i="10" s="1"/>
  <c r="H103" i="10"/>
  <c r="G103" i="10"/>
  <c r="N102" i="10"/>
  <c r="I102" i="10"/>
  <c r="J102" i="10" s="1"/>
  <c r="H102" i="10"/>
  <c r="G102" i="10"/>
  <c r="N101" i="10"/>
  <c r="I101" i="10"/>
  <c r="J101" i="10" s="1"/>
  <c r="H101" i="10"/>
  <c r="G101" i="10"/>
  <c r="N100" i="10"/>
  <c r="I100" i="10"/>
  <c r="J100" i="10" s="1"/>
  <c r="H100" i="10"/>
  <c r="G100" i="10"/>
  <c r="N99" i="10"/>
  <c r="I99" i="10"/>
  <c r="J99" i="10" s="1"/>
  <c r="H99" i="10"/>
  <c r="G99" i="10"/>
  <c r="N98" i="10"/>
  <c r="J98" i="10"/>
  <c r="I98" i="10"/>
  <c r="H98" i="10"/>
  <c r="G98" i="10"/>
  <c r="N97" i="10"/>
  <c r="I97" i="10"/>
  <c r="J97" i="10" s="1"/>
  <c r="H97" i="10"/>
  <c r="G97" i="10"/>
  <c r="N96" i="10"/>
  <c r="I96" i="10"/>
  <c r="J96" i="10" s="1"/>
  <c r="H96" i="10"/>
  <c r="G96" i="10"/>
  <c r="N95" i="10"/>
  <c r="I95" i="10"/>
  <c r="J95" i="10" s="1"/>
  <c r="H95" i="10"/>
  <c r="G95" i="10"/>
  <c r="N94" i="10"/>
  <c r="I94" i="10"/>
  <c r="J94" i="10" s="1"/>
  <c r="H94" i="10"/>
  <c r="G94" i="10"/>
  <c r="N93" i="10"/>
  <c r="I93" i="10"/>
  <c r="J93" i="10" s="1"/>
  <c r="H93" i="10"/>
  <c r="G93" i="10"/>
  <c r="N92" i="10"/>
  <c r="J92" i="10"/>
  <c r="I92" i="10"/>
  <c r="H92" i="10"/>
  <c r="G92" i="10"/>
  <c r="N91" i="10"/>
  <c r="J91" i="10"/>
  <c r="I91" i="10"/>
  <c r="H91" i="10"/>
  <c r="G91" i="10"/>
  <c r="N90" i="10"/>
  <c r="J90" i="10"/>
  <c r="I90" i="10"/>
  <c r="H90" i="10"/>
  <c r="G90" i="10"/>
  <c r="N89" i="10"/>
  <c r="I89" i="10"/>
  <c r="J89" i="10" s="1"/>
  <c r="H89" i="10"/>
  <c r="G89" i="10"/>
  <c r="N88" i="10"/>
  <c r="I88" i="10"/>
  <c r="J88" i="10" s="1"/>
  <c r="H88" i="10"/>
  <c r="G88" i="10"/>
  <c r="N87" i="10"/>
  <c r="I87" i="10"/>
  <c r="J87" i="10" s="1"/>
  <c r="H87" i="10"/>
  <c r="G87" i="10"/>
  <c r="N86" i="10"/>
  <c r="I86" i="10"/>
  <c r="J86" i="10" s="1"/>
  <c r="H86" i="10"/>
  <c r="G86" i="10"/>
  <c r="N85" i="10"/>
  <c r="I85" i="10"/>
  <c r="J85" i="10" s="1"/>
  <c r="H85" i="10"/>
  <c r="G85" i="10"/>
  <c r="N84" i="10"/>
  <c r="J84" i="10"/>
  <c r="I84" i="10"/>
  <c r="H84" i="10"/>
  <c r="G84" i="10"/>
  <c r="N83" i="10"/>
  <c r="I83" i="10"/>
  <c r="J83" i="10" s="1"/>
  <c r="H83" i="10"/>
  <c r="G83" i="10"/>
  <c r="N82" i="10"/>
  <c r="J82" i="10"/>
  <c r="I82" i="10"/>
  <c r="H82" i="10"/>
  <c r="G82" i="10"/>
  <c r="N81" i="10"/>
  <c r="I81" i="10"/>
  <c r="J81" i="10" s="1"/>
  <c r="H81" i="10"/>
  <c r="G81" i="10"/>
  <c r="N80" i="10"/>
  <c r="I80" i="10"/>
  <c r="J80" i="10" s="1"/>
  <c r="H80" i="10"/>
  <c r="G80" i="10"/>
  <c r="N79" i="10"/>
  <c r="I79" i="10"/>
  <c r="J79" i="10" s="1"/>
  <c r="H79" i="10"/>
  <c r="G79" i="10"/>
  <c r="N78" i="10"/>
  <c r="I78" i="10"/>
  <c r="J78" i="10" s="1"/>
  <c r="H78" i="10"/>
  <c r="G78" i="10"/>
  <c r="N77" i="10"/>
  <c r="I77" i="10"/>
  <c r="J77" i="10" s="1"/>
  <c r="H77" i="10"/>
  <c r="G77" i="10"/>
  <c r="N76" i="10"/>
  <c r="J76" i="10"/>
  <c r="I76" i="10"/>
  <c r="H76" i="10"/>
  <c r="G76" i="10"/>
  <c r="N75" i="10"/>
  <c r="J75" i="10"/>
  <c r="I75" i="10"/>
  <c r="H75" i="10"/>
  <c r="G75" i="10"/>
  <c r="N74" i="10"/>
  <c r="J74" i="10"/>
  <c r="I74" i="10"/>
  <c r="H74" i="10"/>
  <c r="G74" i="10"/>
  <c r="N73" i="10"/>
  <c r="I73" i="10"/>
  <c r="J73" i="10" s="1"/>
  <c r="H73" i="10"/>
  <c r="G73" i="10"/>
  <c r="N72" i="10"/>
  <c r="J72" i="10"/>
  <c r="I72" i="10"/>
  <c r="H72" i="10"/>
  <c r="G72" i="10"/>
  <c r="N71" i="10"/>
  <c r="I71" i="10"/>
  <c r="J71" i="10" s="1"/>
  <c r="H71" i="10"/>
  <c r="G71" i="10"/>
  <c r="N70" i="10"/>
  <c r="I70" i="10"/>
  <c r="J70" i="10" s="1"/>
  <c r="H70" i="10"/>
  <c r="G70" i="10"/>
  <c r="N69" i="10"/>
  <c r="I69" i="10"/>
  <c r="J69" i="10" s="1"/>
  <c r="H69" i="10"/>
  <c r="G69" i="10"/>
  <c r="N68" i="10"/>
  <c r="I68" i="10"/>
  <c r="J68" i="10" s="1"/>
  <c r="H68" i="10"/>
  <c r="G68" i="10"/>
  <c r="N67" i="10"/>
  <c r="I67" i="10"/>
  <c r="J67" i="10" s="1"/>
  <c r="H67" i="10"/>
  <c r="G67" i="10"/>
  <c r="N66" i="10"/>
  <c r="J66" i="10"/>
  <c r="I66" i="10"/>
  <c r="H66" i="10"/>
  <c r="G66" i="10"/>
  <c r="N65" i="10"/>
  <c r="I65" i="10"/>
  <c r="J65" i="10" s="1"/>
  <c r="H65" i="10"/>
  <c r="G65" i="10"/>
  <c r="N64" i="10"/>
  <c r="I64" i="10"/>
  <c r="J64" i="10" s="1"/>
  <c r="H64" i="10"/>
  <c r="G64" i="10"/>
  <c r="N63" i="10"/>
  <c r="I63" i="10"/>
  <c r="J63" i="10" s="1"/>
  <c r="H63" i="10"/>
  <c r="G63" i="10"/>
  <c r="N62" i="10"/>
  <c r="I62" i="10"/>
  <c r="J62" i="10" s="1"/>
  <c r="H62" i="10"/>
  <c r="G62" i="10"/>
  <c r="N61" i="10"/>
  <c r="I61" i="10"/>
  <c r="J61" i="10" s="1"/>
  <c r="H61" i="10"/>
  <c r="G61" i="10"/>
  <c r="N60" i="10"/>
  <c r="I60" i="10"/>
  <c r="J60" i="10" s="1"/>
  <c r="H60" i="10"/>
  <c r="G60" i="10"/>
  <c r="N59" i="10"/>
  <c r="I59" i="10"/>
  <c r="J59" i="10" s="1"/>
  <c r="H59" i="10"/>
  <c r="G59" i="10"/>
  <c r="N58" i="10"/>
  <c r="J58" i="10"/>
  <c r="I58" i="10"/>
  <c r="H58" i="10"/>
  <c r="G58" i="10"/>
  <c r="N57" i="10"/>
  <c r="I57" i="10"/>
  <c r="J57" i="10" s="1"/>
  <c r="H57" i="10"/>
  <c r="G57" i="10"/>
  <c r="N56" i="10"/>
  <c r="I56" i="10"/>
  <c r="J56" i="10" s="1"/>
  <c r="H56" i="10"/>
  <c r="G56" i="10"/>
  <c r="N55" i="10"/>
  <c r="I55" i="10"/>
  <c r="J55" i="10" s="1"/>
  <c r="H55" i="10"/>
  <c r="G55" i="10"/>
  <c r="N54" i="10"/>
  <c r="I54" i="10"/>
  <c r="J54" i="10" s="1"/>
  <c r="H54" i="10"/>
  <c r="G54" i="10"/>
  <c r="N53" i="10"/>
  <c r="I53" i="10"/>
  <c r="J53" i="10" s="1"/>
  <c r="H53" i="10"/>
  <c r="G53" i="10"/>
  <c r="N52" i="10"/>
  <c r="J52" i="10"/>
  <c r="I52" i="10"/>
  <c r="H52" i="10"/>
  <c r="G52" i="10"/>
  <c r="N51" i="10"/>
  <c r="I51" i="10"/>
  <c r="J51" i="10" s="1"/>
  <c r="H51" i="10"/>
  <c r="G51" i="10"/>
  <c r="N50" i="10"/>
  <c r="I50" i="10"/>
  <c r="J50" i="10" s="1"/>
  <c r="H50" i="10"/>
  <c r="G50" i="10"/>
  <c r="N49" i="10"/>
  <c r="I49" i="10"/>
  <c r="J49" i="10" s="1"/>
  <c r="H49" i="10"/>
  <c r="G49" i="10"/>
  <c r="N48" i="10"/>
  <c r="I48" i="10"/>
  <c r="J48" i="10" s="1"/>
  <c r="H48" i="10"/>
  <c r="G48" i="10"/>
  <c r="N47" i="10"/>
  <c r="I47" i="10"/>
  <c r="J47" i="10" s="1"/>
  <c r="H47" i="10"/>
  <c r="G47" i="10"/>
  <c r="N46" i="10"/>
  <c r="I46" i="10"/>
  <c r="J46" i="10" s="1"/>
  <c r="H46" i="10"/>
  <c r="G46" i="10"/>
  <c r="N45" i="10"/>
  <c r="I45" i="10"/>
  <c r="J45" i="10" s="1"/>
  <c r="H45" i="10"/>
  <c r="G45" i="10"/>
  <c r="N44" i="10"/>
  <c r="I44" i="10"/>
  <c r="J44" i="10" s="1"/>
  <c r="H44" i="10"/>
  <c r="G44" i="10"/>
  <c r="N43" i="10"/>
  <c r="I43" i="10"/>
  <c r="J43" i="10" s="1"/>
  <c r="H43" i="10"/>
  <c r="G43" i="10"/>
  <c r="N42" i="10"/>
  <c r="J42" i="10"/>
  <c r="I42" i="10"/>
  <c r="H42" i="10"/>
  <c r="G42" i="10"/>
  <c r="P41" i="10"/>
  <c r="I41" i="10"/>
  <c r="J41" i="10" s="1"/>
  <c r="H41" i="10"/>
  <c r="G41" i="10"/>
  <c r="N40" i="10"/>
  <c r="J40" i="10"/>
  <c r="I40" i="10"/>
  <c r="H40" i="10"/>
  <c r="G40" i="10"/>
  <c r="N39" i="10"/>
  <c r="I39" i="10"/>
  <c r="J39" i="10" s="1"/>
  <c r="H39" i="10"/>
  <c r="G39" i="10"/>
  <c r="N38" i="10"/>
  <c r="I38" i="10"/>
  <c r="J38" i="10" s="1"/>
  <c r="H38" i="10"/>
  <c r="G38" i="10"/>
  <c r="N37" i="10"/>
  <c r="I37" i="10"/>
  <c r="J37" i="10" s="1"/>
  <c r="H37" i="10"/>
  <c r="G37" i="10"/>
  <c r="N36" i="10"/>
  <c r="J36" i="10"/>
  <c r="I36" i="10"/>
  <c r="H36" i="10"/>
  <c r="G36" i="10"/>
  <c r="P35" i="10"/>
  <c r="I35" i="10"/>
  <c r="J35" i="10" s="1"/>
  <c r="H35" i="10"/>
  <c r="G35" i="10"/>
  <c r="P34" i="10"/>
  <c r="I34" i="10"/>
  <c r="J34" i="10" s="1"/>
  <c r="H34" i="10"/>
  <c r="G34" i="10"/>
  <c r="P33" i="10"/>
  <c r="N33" i="10"/>
  <c r="J33" i="10"/>
  <c r="I33" i="10"/>
  <c r="H33" i="10"/>
  <c r="G33" i="10"/>
  <c r="P32" i="10"/>
  <c r="I32" i="10"/>
  <c r="J32" i="10" s="1"/>
  <c r="H32" i="10"/>
  <c r="G32" i="10"/>
  <c r="P31" i="10"/>
  <c r="N31" i="10"/>
  <c r="I31" i="10"/>
  <c r="J31" i="10" s="1"/>
  <c r="H31" i="10"/>
  <c r="G31" i="10"/>
  <c r="P30" i="10"/>
  <c r="N30" i="10"/>
  <c r="I30" i="10"/>
  <c r="J30" i="10" s="1"/>
  <c r="H30" i="10"/>
  <c r="G30" i="10"/>
  <c r="P29" i="10"/>
  <c r="I29" i="10"/>
  <c r="J29" i="10" s="1"/>
  <c r="H29" i="10"/>
  <c r="G29" i="10"/>
  <c r="P28" i="10"/>
  <c r="I28" i="10"/>
  <c r="J28" i="10" s="1"/>
  <c r="H28" i="10"/>
  <c r="G28" i="10"/>
  <c r="P27" i="10"/>
  <c r="J27" i="10"/>
  <c r="I27" i="10"/>
  <c r="H27" i="10"/>
  <c r="G27" i="10"/>
  <c r="I26" i="10"/>
  <c r="J26" i="10" s="1"/>
  <c r="H26" i="10"/>
  <c r="G26" i="10"/>
  <c r="N25" i="10"/>
  <c r="I25" i="10"/>
  <c r="J25" i="10" s="1"/>
  <c r="H25" i="10"/>
  <c r="G25" i="10"/>
  <c r="N24" i="10"/>
  <c r="J24" i="10"/>
  <c r="I24" i="10"/>
  <c r="H24" i="10"/>
  <c r="G24" i="10"/>
  <c r="N23" i="10"/>
  <c r="I23" i="10"/>
  <c r="J23" i="10" s="1"/>
  <c r="H23" i="10"/>
  <c r="G23" i="10"/>
  <c r="N22" i="10"/>
  <c r="J22" i="10"/>
  <c r="I22" i="10"/>
  <c r="H22" i="10"/>
  <c r="G22" i="10"/>
  <c r="N21" i="10"/>
  <c r="I21" i="10"/>
  <c r="J21" i="10" s="1"/>
  <c r="H21" i="10"/>
  <c r="G21" i="10"/>
  <c r="N20" i="10"/>
  <c r="J20" i="10"/>
  <c r="I20" i="10"/>
  <c r="H20" i="10"/>
  <c r="G20" i="10"/>
  <c r="N19" i="10"/>
  <c r="I19" i="10"/>
  <c r="J19" i="10" s="1"/>
  <c r="H19" i="10"/>
  <c r="G19" i="10"/>
  <c r="N18" i="10"/>
  <c r="J18" i="10"/>
  <c r="I18" i="10"/>
  <c r="H18" i="10"/>
  <c r="G18" i="10"/>
  <c r="N17" i="10"/>
  <c r="I17" i="10"/>
  <c r="J17" i="10" s="1"/>
  <c r="H17" i="10"/>
  <c r="G17" i="10"/>
  <c r="N16" i="10"/>
  <c r="I16" i="10"/>
  <c r="J16" i="10" s="1"/>
  <c r="H16" i="10"/>
  <c r="G16" i="10"/>
  <c r="N15" i="10"/>
  <c r="I15" i="10"/>
  <c r="J15" i="10" s="1"/>
  <c r="H15" i="10"/>
  <c r="G15" i="10"/>
  <c r="N14" i="10"/>
  <c r="I14" i="10"/>
  <c r="J14" i="10" s="1"/>
  <c r="H14" i="10"/>
  <c r="G14" i="10"/>
  <c r="N13" i="10"/>
  <c r="I13" i="10"/>
  <c r="J13" i="10" s="1"/>
  <c r="H13" i="10"/>
  <c r="G13" i="10"/>
  <c r="N12" i="10"/>
  <c r="I12" i="10"/>
  <c r="J12" i="10" s="1"/>
  <c r="H12" i="10"/>
  <c r="G12" i="10"/>
  <c r="N11" i="10"/>
  <c r="I11" i="10"/>
  <c r="J11" i="10" s="1"/>
  <c r="H11" i="10"/>
  <c r="G11" i="10"/>
  <c r="N10" i="10"/>
  <c r="I10" i="10"/>
  <c r="J10" i="10" s="1"/>
  <c r="H10" i="10"/>
  <c r="G10" i="10"/>
  <c r="N9" i="10"/>
  <c r="I9" i="10"/>
  <c r="J9" i="10" s="1"/>
  <c r="H9" i="10"/>
  <c r="G9" i="10"/>
  <c r="N8" i="10"/>
  <c r="I8" i="10"/>
  <c r="J8" i="10" s="1"/>
  <c r="H8" i="10"/>
  <c r="G8" i="10"/>
  <c r="N7" i="10"/>
  <c r="I7" i="10"/>
  <c r="J7" i="10" s="1"/>
  <c r="H7" i="10"/>
  <c r="G7" i="10"/>
  <c r="N6" i="10"/>
  <c r="I6" i="10"/>
  <c r="J6" i="10" s="1"/>
  <c r="H6" i="10"/>
  <c r="G6" i="10"/>
  <c r="I5" i="10"/>
  <c r="J5" i="10" s="1"/>
  <c r="H5" i="10"/>
  <c r="G5" i="10"/>
  <c r="N4" i="10"/>
  <c r="I4" i="10"/>
  <c r="J4" i="10" s="1"/>
  <c r="H4" i="10"/>
  <c r="G4" i="10"/>
  <c r="N3" i="10"/>
  <c r="I3" i="10"/>
  <c r="J3" i="10" s="1"/>
  <c r="H3" i="10"/>
  <c r="G3" i="10"/>
  <c r="N2" i="10"/>
  <c r="I2" i="10"/>
  <c r="J2" i="10" s="1"/>
  <c r="H2" i="10"/>
  <c r="G2" i="10"/>
  <c r="G48" i="1" l="1"/>
  <c r="F49" i="1" s="1"/>
  <c r="G4" i="1"/>
  <c r="G5" i="1" s="1"/>
  <c r="G6" i="1" l="1"/>
  <c r="F6" i="1"/>
  <c r="G49" i="1"/>
  <c r="F5" i="1"/>
  <c r="G50" i="1" l="1"/>
  <c r="F50" i="1"/>
  <c r="G7" i="1"/>
  <c r="F7" i="1"/>
  <c r="F51" i="1" l="1"/>
  <c r="G51" i="1"/>
  <c r="G8" i="1"/>
  <c r="F8" i="1"/>
  <c r="G52" i="1" l="1"/>
  <c r="F52" i="1"/>
  <c r="G9" i="1"/>
  <c r="F9" i="1"/>
  <c r="F53" i="1" l="1"/>
  <c r="G53" i="1"/>
  <c r="G10" i="1"/>
  <c r="F10" i="1"/>
  <c r="F54" i="1" l="1"/>
  <c r="G54" i="1"/>
  <c r="F11" i="1"/>
  <c r="G11" i="1"/>
  <c r="F55" i="1" l="1"/>
  <c r="G55" i="1"/>
  <c r="F12" i="1"/>
  <c r="G12" i="1"/>
  <c r="G56" i="1" l="1"/>
  <c r="F56" i="1"/>
  <c r="G13" i="1"/>
  <c r="F13" i="1"/>
  <c r="G57" i="1" l="1"/>
  <c r="F57" i="1"/>
  <c r="G14" i="1"/>
  <c r="F14" i="1"/>
  <c r="G58" i="1" l="1"/>
  <c r="F58" i="1"/>
  <c r="F15" i="1"/>
  <c r="G15" i="1"/>
  <c r="G59" i="1" l="1"/>
  <c r="F59" i="1"/>
  <c r="G16" i="1"/>
  <c r="F16" i="1"/>
  <c r="G60" i="1" l="1"/>
  <c r="F60" i="1"/>
  <c r="G17" i="1"/>
  <c r="F17" i="1"/>
  <c r="G61" i="1" l="1"/>
  <c r="F61" i="1"/>
  <c r="G18" i="1"/>
  <c r="F18" i="1"/>
  <c r="G62" i="1" l="1"/>
  <c r="F62" i="1"/>
  <c r="G19" i="1"/>
  <c r="F19" i="1"/>
  <c r="G63" i="1" l="1"/>
  <c r="F63" i="1"/>
  <c r="G20" i="1"/>
  <c r="F20" i="1"/>
  <c r="F64" i="1" l="1"/>
  <c r="G64" i="1"/>
  <c r="G21" i="1"/>
  <c r="F21" i="1"/>
  <c r="G65" i="1" l="1"/>
  <c r="F65" i="1"/>
  <c r="F22" i="1"/>
  <c r="G22" i="1"/>
  <c r="F66" i="1" l="1"/>
  <c r="G66" i="1"/>
  <c r="F23" i="1"/>
  <c r="G23" i="1"/>
  <c r="F67" i="1" l="1"/>
  <c r="G67" i="1"/>
  <c r="F24" i="1"/>
  <c r="G24" i="1"/>
  <c r="F68" i="1" l="1"/>
  <c r="G68" i="1"/>
  <c r="F25" i="1"/>
  <c r="G25" i="1"/>
  <c r="F69" i="1" l="1"/>
  <c r="G69" i="1"/>
  <c r="F26" i="1"/>
  <c r="G26" i="1"/>
  <c r="F70" i="1" l="1"/>
  <c r="G70" i="1"/>
  <c r="F27" i="1"/>
  <c r="G27" i="1"/>
  <c r="F71" i="1" l="1"/>
  <c r="G71" i="1"/>
  <c r="F28" i="1"/>
  <c r="G28" i="1"/>
  <c r="G72" i="1" l="1"/>
  <c r="F72" i="1"/>
  <c r="G29" i="1"/>
  <c r="F29" i="1"/>
  <c r="G73" i="1" l="1"/>
  <c r="F73" i="1"/>
  <c r="G30" i="1"/>
  <c r="F30" i="1"/>
  <c r="G74" i="1" l="1"/>
  <c r="F74" i="1"/>
  <c r="F31" i="1"/>
  <c r="G31" i="1"/>
  <c r="F75" i="1" l="1"/>
  <c r="G75" i="1"/>
  <c r="F32" i="1"/>
  <c r="G32" i="1"/>
  <c r="G76" i="1" l="1"/>
  <c r="F76" i="1"/>
  <c r="F33" i="1"/>
  <c r="G33" i="1"/>
  <c r="G77" i="1" l="1"/>
  <c r="F77" i="1"/>
  <c r="F34" i="1"/>
  <c r="G34" i="1"/>
  <c r="F78" i="1" l="1"/>
  <c r="G78" i="1"/>
  <c r="F35" i="1"/>
  <c r="G35" i="1"/>
  <c r="G79" i="1" l="1"/>
  <c r="F79" i="1"/>
  <c r="F36" i="1"/>
  <c r="G36" i="1"/>
  <c r="G80" i="1" l="1"/>
  <c r="F80" i="1"/>
  <c r="F37" i="1"/>
  <c r="G37" i="1"/>
  <c r="F81" i="1" l="1"/>
  <c r="G81" i="1"/>
  <c r="F38" i="1"/>
  <c r="G38" i="1"/>
  <c r="F82" i="1" l="1"/>
  <c r="G82" i="1"/>
  <c r="G39" i="1"/>
  <c r="F39" i="1"/>
  <c r="F83" i="1" l="1"/>
  <c r="G83" i="1"/>
  <c r="F40" i="1"/>
  <c r="G40" i="1"/>
  <c r="F84" i="1" l="1"/>
  <c r="G84" i="1"/>
  <c r="F41" i="1"/>
  <c r="G41" i="1"/>
  <c r="F85" i="1" l="1"/>
  <c r="G85" i="1"/>
  <c r="F42" i="1"/>
  <c r="G42" i="1"/>
  <c r="F86" i="1" l="1"/>
  <c r="G86" i="1"/>
  <c r="F87" i="1" l="1"/>
  <c r="G87" i="1"/>
  <c r="G88" i="1" l="1"/>
  <c r="F88" i="1"/>
  <c r="F89" i="1" l="1"/>
  <c r="G89" i="1"/>
  <c r="F90" i="1" l="1"/>
  <c r="G90" i="1"/>
  <c r="G91" i="1" l="1"/>
  <c r="F91" i="1"/>
  <c r="G92" i="1" l="1"/>
  <c r="F92" i="1"/>
  <c r="F93" i="1" l="1"/>
  <c r="G93" i="1"/>
  <c r="G94" i="1" l="1"/>
  <c r="F94" i="1"/>
  <c r="G95" i="1" l="1"/>
  <c r="F95" i="1"/>
  <c r="G96" i="1" l="1"/>
  <c r="F96" i="1"/>
  <c r="G97" i="1" l="1"/>
  <c r="F97" i="1"/>
  <c r="G98" i="1" l="1"/>
  <c r="F98" i="1"/>
  <c r="F99" i="1" l="1"/>
  <c r="G99" i="1"/>
  <c r="F100" i="1" l="1"/>
  <c r="G100" i="1"/>
  <c r="F101" i="1" l="1"/>
  <c r="G101" i="1"/>
  <c r="F102" i="1" l="1"/>
  <c r="G102" i="1"/>
  <c r="G103" i="1" l="1"/>
  <c r="F103" i="1"/>
  <c r="G104" i="1" l="1"/>
  <c r="F104" i="1"/>
  <c r="G105" i="1" l="1"/>
  <c r="F105" i="1"/>
  <c r="F106" i="1" l="1"/>
  <c r="G106" i="1"/>
  <c r="G107" i="1" l="1"/>
  <c r="F107" i="1"/>
  <c r="G108" i="1" l="1"/>
  <c r="F108" i="1"/>
  <c r="G109" i="1" l="1"/>
  <c r="F109" i="1"/>
  <c r="F110" i="1" l="1"/>
  <c r="G110" i="1"/>
  <c r="F111" i="1" l="1"/>
  <c r="G111" i="1"/>
  <c r="F112" i="1" l="1"/>
  <c r="G112" i="1"/>
  <c r="G113" i="1" l="1"/>
  <c r="F113" i="1"/>
  <c r="G114" i="1" l="1"/>
  <c r="F114" i="1"/>
  <c r="G115" i="1" l="1"/>
  <c r="F115" i="1"/>
  <c r="F116" i="1" l="1"/>
  <c r="G116" i="1"/>
  <c r="G117" i="1" l="1"/>
  <c r="F117" i="1"/>
  <c r="F118" i="1" l="1"/>
  <c r="G118" i="1"/>
  <c r="G119" i="1" l="1"/>
  <c r="F119" i="1"/>
  <c r="G120" i="1" l="1"/>
  <c r="F120" i="1"/>
  <c r="G121" i="1" l="1"/>
  <c r="F121" i="1"/>
  <c r="G122" i="1" l="1"/>
  <c r="F122" i="1"/>
  <c r="F123" i="1" l="1"/>
  <c r="G123" i="1"/>
  <c r="G124" i="1" l="1"/>
  <c r="F124" i="1"/>
  <c r="G125" i="1" l="1"/>
  <c r="F125" i="1"/>
  <c r="F126" i="1" l="1"/>
  <c r="G126" i="1"/>
  <c r="F127" i="1" l="1"/>
  <c r="G127" i="1"/>
  <c r="G128" i="1" l="1"/>
  <c r="F128" i="1"/>
  <c r="G129" i="1" l="1"/>
  <c r="F129" i="1"/>
  <c r="G130" i="1" l="1"/>
  <c r="F130" i="1"/>
  <c r="G131" i="1" l="1"/>
  <c r="F131" i="1"/>
  <c r="F132" i="1" l="1"/>
  <c r="G132" i="1"/>
  <c r="F133" i="1" l="1"/>
  <c r="G133" i="1"/>
  <c r="G134" i="1" l="1"/>
  <c r="F134" i="1"/>
  <c r="F135" i="1" l="1"/>
  <c r="G135" i="1"/>
  <c r="G136" i="1" l="1"/>
  <c r="F136" i="1"/>
  <c r="G137" i="1" l="1"/>
  <c r="F137" i="1"/>
  <c r="F138" i="1" l="1"/>
  <c r="G138" i="1"/>
  <c r="F139" i="1" l="1"/>
  <c r="G139" i="1"/>
  <c r="F140" i="1" l="1"/>
  <c r="G140" i="1"/>
  <c r="G141" i="1" l="1"/>
  <c r="F141" i="1"/>
  <c r="G142" i="1" l="1"/>
  <c r="F142" i="1"/>
  <c r="G143" i="1" l="1"/>
  <c r="F143" i="1"/>
  <c r="G144" i="1" l="1"/>
  <c r="F144" i="1"/>
  <c r="G145" i="1" l="1"/>
  <c r="F145" i="1"/>
  <c r="G146" i="1" l="1"/>
  <c r="F146" i="1"/>
  <c r="G147" i="1" l="1"/>
  <c r="F147" i="1"/>
  <c r="F148" i="1" l="1"/>
  <c r="G148" i="1"/>
  <c r="F149" i="1" l="1"/>
  <c r="G149" i="1"/>
  <c r="G150" i="1" l="1"/>
  <c r="F150" i="1"/>
  <c r="F151" i="1" l="1"/>
  <c r="G151" i="1"/>
  <c r="G152" i="1" l="1"/>
  <c r="F152" i="1"/>
  <c r="G153" i="1" l="1"/>
  <c r="F153" i="1"/>
  <c r="F154" i="1" l="1"/>
  <c r="G154" i="1"/>
  <c r="F155" i="1" l="1"/>
  <c r="G155" i="1"/>
</calcChain>
</file>

<file path=xl/sharedStrings.xml><?xml version="1.0" encoding="utf-8"?>
<sst xmlns="http://schemas.openxmlformats.org/spreadsheetml/2006/main" count="1732" uniqueCount="574">
  <si>
    <t>Srl</t>
  </si>
  <si>
    <t>Full Name</t>
  </si>
  <si>
    <t>Block</t>
  </si>
  <si>
    <t>Field Length</t>
  </si>
  <si>
    <t>Byte Position</t>
  </si>
  <si>
    <t>Quarter</t>
  </si>
  <si>
    <t>Visit</t>
  </si>
  <si>
    <t>Sector</t>
  </si>
  <si>
    <t>Sample Sg/Sb No.</t>
  </si>
  <si>
    <t>Second Stage Stratum No.</t>
  </si>
  <si>
    <t>Sample Household Number</t>
  </si>
  <si>
    <t>State/Ut Code</t>
  </si>
  <si>
    <t>Stratum</t>
  </si>
  <si>
    <t>Sub-Stratum</t>
  </si>
  <si>
    <t>Sub-Sample</t>
  </si>
  <si>
    <t>Fod Sub-Region</t>
  </si>
  <si>
    <t>Survey Code</t>
  </si>
  <si>
    <t>Total Time Taken To Canvass Sch. 10.4</t>
  </si>
  <si>
    <t>Household Size</t>
  </si>
  <si>
    <t>Household Type</t>
  </si>
  <si>
    <t>Religion</t>
  </si>
  <si>
    <t>Social Group</t>
  </si>
  <si>
    <t>Household'S Usual Consumer Expenditure In A Month (Rs.)</t>
  </si>
  <si>
    <t>Schdule</t>
  </si>
  <si>
    <t>Month of Survey</t>
  </si>
  <si>
    <t>Response Code</t>
  </si>
  <si>
    <t>Informant Serial no.</t>
  </si>
  <si>
    <t>Reason for Substitution of original household</t>
  </si>
  <si>
    <t>Survey Date</t>
  </si>
  <si>
    <t>2(i)</t>
  </si>
  <si>
    <t>Generated</t>
  </si>
  <si>
    <t>NSS-Region</t>
  </si>
  <si>
    <t>Person Serial No.</t>
  </si>
  <si>
    <t>Relationship To Head</t>
  </si>
  <si>
    <t>Age</t>
  </si>
  <si>
    <t>Marital Status</t>
  </si>
  <si>
    <t>General Educaion Level</t>
  </si>
  <si>
    <t>Technical Educaion Level</t>
  </si>
  <si>
    <t>No. of years in Formal Education</t>
  </si>
  <si>
    <t>Status of Current Attendance in Educational Institution</t>
  </si>
  <si>
    <t>Whether received any Vocational/Technical Training</t>
  </si>
  <si>
    <t>Whether Training completed during last 365 Days</t>
  </si>
  <si>
    <t>Field Of Training</t>
  </si>
  <si>
    <t>Duration Of Training</t>
  </si>
  <si>
    <t>Type Of Training</t>
  </si>
  <si>
    <t>Source Of Funding The Training</t>
  </si>
  <si>
    <t>Status Code</t>
  </si>
  <si>
    <t>Whether Engaged In Any Work In Subsidiary Capacity</t>
  </si>
  <si>
    <t>Earnings For Regular Salarid/Wage Activity</t>
  </si>
  <si>
    <t>(Principal)location Of Workplace Code</t>
  </si>
  <si>
    <t>(Principal) Enterprise Type Code</t>
  </si>
  <si>
    <t>(Principal) No. Of Workers In The Enterprise</t>
  </si>
  <si>
    <t>(Principal)  Type Of Job Contract</t>
  </si>
  <si>
    <t>(Principal) Eligble Of Paid Leave</t>
  </si>
  <si>
    <t>(Principal) Social Security Benefits</t>
  </si>
  <si>
    <t>(Subsidiary) location Of Workplace Code</t>
  </si>
  <si>
    <t>(Subsidiary)  Enterprise Type Code</t>
  </si>
  <si>
    <t>(Subsidiary)  No. Of Workers In The Enterprise</t>
  </si>
  <si>
    <t>(Subsidiary)   Type Of Job Contract</t>
  </si>
  <si>
    <t>(Subsidiary)  Eligble Of Paid Leave</t>
  </si>
  <si>
    <t>(Subsidiary)  Social Security Benefits</t>
  </si>
  <si>
    <t>Status Code for activity 1</t>
  </si>
  <si>
    <t>Status Code for activity 2</t>
  </si>
  <si>
    <t>6/3.1</t>
  </si>
  <si>
    <t>6/3.2</t>
  </si>
  <si>
    <t>9/3.2</t>
  </si>
  <si>
    <t>9/3.1</t>
  </si>
  <si>
    <t>9/3.7</t>
  </si>
  <si>
    <t>9/3.6</t>
  </si>
  <si>
    <t>4/3.1</t>
  </si>
  <si>
    <t>5/3.1</t>
  </si>
  <si>
    <t>total hours actually worked on 7th day</t>
  </si>
  <si>
    <t>wage earning for activity 2 on 7 th day</t>
  </si>
  <si>
    <t>wage earning for activity 1 on 7 th day</t>
  </si>
  <si>
    <t>hours actuallly worked for activity 1 on 7 th day</t>
  </si>
  <si>
    <t>hours available for aditional worked on 7th day</t>
  </si>
  <si>
    <t>7/3.1</t>
  </si>
  <si>
    <t>8/3.1</t>
  </si>
  <si>
    <t>8/3.2</t>
  </si>
  <si>
    <t>4/3.2</t>
  </si>
  <si>
    <t>5/3.2</t>
  </si>
  <si>
    <t>7/3.2</t>
  </si>
  <si>
    <t>hours actuallly worked for activity 1 on 6 th day</t>
  </si>
  <si>
    <t>hours actuallly worked for activity 2 on 6 th day</t>
  </si>
  <si>
    <t>wage earning for activity 2 on 6 th day</t>
  </si>
  <si>
    <t>total hours actually worked on 6th day</t>
  </si>
  <si>
    <t>hours available for aditional worked on 6th day</t>
  </si>
  <si>
    <t>hours actuallly worked for activity 2 on 7 th day</t>
  </si>
  <si>
    <t>4/3.3</t>
  </si>
  <si>
    <t>5/3.3</t>
  </si>
  <si>
    <t>6/3.3</t>
  </si>
  <si>
    <t>9/3.3</t>
  </si>
  <si>
    <t>7/3.3</t>
  </si>
  <si>
    <t>8/3.3</t>
  </si>
  <si>
    <t>hours actuallly worked for activity 1 on5 th day</t>
  </si>
  <si>
    <t>wage earning for activity 1 on 5 th day</t>
  </si>
  <si>
    <t>hours actuallly worked for activity 2 on 5 th day</t>
  </si>
  <si>
    <t>wage earning for activity 2 on 5 th day</t>
  </si>
  <si>
    <t>total hours actually worked on 5th day</t>
  </si>
  <si>
    <t>hours available for aditional worked on 5th day</t>
  </si>
  <si>
    <t>4/3.4</t>
  </si>
  <si>
    <t>5/3.4</t>
  </si>
  <si>
    <t>6/3.4</t>
  </si>
  <si>
    <t>9/3.4</t>
  </si>
  <si>
    <t>7/3.4</t>
  </si>
  <si>
    <t>8/3.4</t>
  </si>
  <si>
    <t>hours actuallly worked for activity 1 on 4th day</t>
  </si>
  <si>
    <t>hours actuallly worked for activity 2 on 4th day</t>
  </si>
  <si>
    <t>wage earning for activity 1 on 4th day</t>
  </si>
  <si>
    <t>wage earning for activity 2 on 4th day</t>
  </si>
  <si>
    <t>total hours actually worked on 4th day</t>
  </si>
  <si>
    <t>hours available for aditional worked on 4th day</t>
  </si>
  <si>
    <t>4/3.5</t>
  </si>
  <si>
    <t>5/3.5</t>
  </si>
  <si>
    <t>6/3.5</t>
  </si>
  <si>
    <t>9/3.5</t>
  </si>
  <si>
    <t>7/3.5</t>
  </si>
  <si>
    <t>8/3.5</t>
  </si>
  <si>
    <t>hours actuallly worked for activity 1 on 3rd day</t>
  </si>
  <si>
    <t>wage earning for activity 1 on 3rd day</t>
  </si>
  <si>
    <t>hours actuallly worked for activity 2 on 3rd day</t>
  </si>
  <si>
    <t>wage earning for activity 2 on 3 rd day</t>
  </si>
  <si>
    <t>total hours actually worked on 3rd day</t>
  </si>
  <si>
    <t>hours available for aditional worked on 3rd day</t>
  </si>
  <si>
    <t>hours actuallly worked for activity 1 on 2nd day</t>
  </si>
  <si>
    <t>wage earning for activity 1 on 2nd day</t>
  </si>
  <si>
    <t>hours actuallly worked for activity 2 on 2nd day</t>
  </si>
  <si>
    <t>wage earning for activity 2 on 2nd day</t>
  </si>
  <si>
    <t>total hours actually worked on 2nd day</t>
  </si>
  <si>
    <t>hours available for aditional worked on 2nd day</t>
  </si>
  <si>
    <t>4/3.6</t>
  </si>
  <si>
    <t>5/3.6</t>
  </si>
  <si>
    <t>6/3.6</t>
  </si>
  <si>
    <t>7/3.6</t>
  </si>
  <si>
    <t>8/3.6</t>
  </si>
  <si>
    <t>4/3.7</t>
  </si>
  <si>
    <t>5/3.7</t>
  </si>
  <si>
    <t>6/3.7</t>
  </si>
  <si>
    <t>7/3.7</t>
  </si>
  <si>
    <t>8/3.7</t>
  </si>
  <si>
    <t>hours actuallly worked for activity 1 on 1st day</t>
  </si>
  <si>
    <t>wage earning for activity 1 on 1st day</t>
  </si>
  <si>
    <t>hours actuallly worked for activity 2 on 1st day</t>
  </si>
  <si>
    <t>wage earning for activity 2 on 1st day</t>
  </si>
  <si>
    <t>total hours actually worked on 1st day</t>
  </si>
  <si>
    <t>hours available for aditional worked on 1st day</t>
  </si>
  <si>
    <t>Current Weekly Status (CWS)</t>
  </si>
  <si>
    <t>Industry Code (CWS)</t>
  </si>
  <si>
    <t>Occupation Code (CWS)</t>
  </si>
  <si>
    <t>Remarks</t>
  </si>
  <si>
    <t>File Identification</t>
  </si>
  <si>
    <t>FSU</t>
  </si>
  <si>
    <t>Ns count for sector x stratum x substratum</t>
  </si>
  <si>
    <t>Ns count for sector x stratum x substratum x sub-sample</t>
  </si>
  <si>
    <t>Sub-sample wise Multiplier</t>
  </si>
  <si>
    <t>Industry Code (NIC)</t>
  </si>
  <si>
    <t>Occupation Code (NCO)</t>
  </si>
  <si>
    <t>Industry Code (NIC) for activity 1</t>
  </si>
  <si>
    <t>Industry Code (NIC) for activity 2</t>
  </si>
  <si>
    <t>Item /Col.</t>
  </si>
  <si>
    <t>District Code</t>
  </si>
  <si>
    <t>(Principal) Usage of product of the economic activity</t>
  </si>
  <si>
    <t>(Subsidiary) Usage of product of the economic activity</t>
  </si>
  <si>
    <t>Ever Worked Prior to last 365 days</t>
  </si>
  <si>
    <t>Duration of engagement in the economic activity in usual Principal Activity Status</t>
  </si>
  <si>
    <t>Duration of engagement in the economic activity in Subsidiary Activity Status</t>
  </si>
  <si>
    <t>Efforts undertaken to search work</t>
  </si>
  <si>
    <t>Duration of spell of Unemployment</t>
  </si>
  <si>
    <t xml:space="preserve">Whether Ever Worked </t>
  </si>
  <si>
    <t xml:space="preserve"> Reason for not working in last 365 days</t>
  </si>
  <si>
    <t xml:space="preserve">Main reason for being in Principal activity status (91 to 97) </t>
  </si>
  <si>
    <t>Earnings For Regular Salaried/Wage Activity</t>
  </si>
  <si>
    <t>Earnings For Self Employed</t>
  </si>
  <si>
    <t>Gender</t>
  </si>
  <si>
    <t>Field_Name</t>
  </si>
  <si>
    <t>file_id</t>
  </si>
  <si>
    <t>sch</t>
  </si>
  <si>
    <t>qtr</t>
  </si>
  <si>
    <t>visit</t>
  </si>
  <si>
    <t>sec</t>
  </si>
  <si>
    <t>st</t>
  </si>
  <si>
    <t>dc</t>
  </si>
  <si>
    <t>nss_reg</t>
  </si>
  <si>
    <t>strm</t>
  </si>
  <si>
    <t>sstrm</t>
  </si>
  <si>
    <t>ss</t>
  </si>
  <si>
    <t>sro</t>
  </si>
  <si>
    <t>mfsu</t>
  </si>
  <si>
    <t>seg</t>
  </si>
  <si>
    <t>sss</t>
  </si>
  <si>
    <t>ssu</t>
  </si>
  <si>
    <t>smonth</t>
  </si>
  <si>
    <t>resp_code</t>
  </si>
  <si>
    <t>svc</t>
  </si>
  <si>
    <t>rea_sub</t>
  </si>
  <si>
    <t>hh_size</t>
  </si>
  <si>
    <t>hhtype</t>
  </si>
  <si>
    <t>relg</t>
  </si>
  <si>
    <t>sg</t>
  </si>
  <si>
    <t>hce_tot</t>
  </si>
  <si>
    <t>inf_srl</t>
  </si>
  <si>
    <t>sur_date</t>
  </si>
  <si>
    <t>sur_time</t>
  </si>
  <si>
    <t>nss</t>
  </si>
  <si>
    <t>nsc</t>
  </si>
  <si>
    <t>mult</t>
  </si>
  <si>
    <t>no_qtr</t>
  </si>
  <si>
    <t>srl</t>
  </si>
  <si>
    <t>rel</t>
  </si>
  <si>
    <t>Sex</t>
  </si>
  <si>
    <t>sex</t>
  </si>
  <si>
    <t>age</t>
  </si>
  <si>
    <t>marst</t>
  </si>
  <si>
    <t>gedu_lvl</t>
  </si>
  <si>
    <t>tedu_lvl</t>
  </si>
  <si>
    <t>form_edu</t>
  </si>
  <si>
    <t>curr_att</t>
  </si>
  <si>
    <t>voc</t>
  </si>
  <si>
    <t>voc_compl</t>
  </si>
  <si>
    <t>voc_fld</t>
  </si>
  <si>
    <t>voc_dur</t>
  </si>
  <si>
    <t>voc_typ</t>
  </si>
  <si>
    <t>voc_fund</t>
  </si>
  <si>
    <t>pas</t>
  </si>
  <si>
    <t>ind_pas</t>
  </si>
  <si>
    <t>ocu_pas</t>
  </si>
  <si>
    <t>has_sas</t>
  </si>
  <si>
    <t>loc_pas</t>
  </si>
  <si>
    <t>etyp_pas</t>
  </si>
  <si>
    <t>wrkr_pas</t>
  </si>
  <si>
    <t>job_pas</t>
  </si>
  <si>
    <t>leave_pas</t>
  </si>
  <si>
    <t>ssec_pas</t>
  </si>
  <si>
    <t>ecoprd_pas</t>
  </si>
  <si>
    <t>sas</t>
  </si>
  <si>
    <t>ind_sas</t>
  </si>
  <si>
    <t>ocu_sas</t>
  </si>
  <si>
    <t>loc_sas</t>
  </si>
  <si>
    <t>etyp_sas</t>
  </si>
  <si>
    <t>wrkr_sas</t>
  </si>
  <si>
    <t>job_sas</t>
  </si>
  <si>
    <t>leave_sas</t>
  </si>
  <si>
    <t>ssec_sas</t>
  </si>
  <si>
    <t>ecoprd_sas</t>
  </si>
  <si>
    <t>wrk_365</t>
  </si>
  <si>
    <t>dur_pas</t>
  </si>
  <si>
    <t>dur_sas</t>
  </si>
  <si>
    <t>eff_pas</t>
  </si>
  <si>
    <t>dur_unp</t>
  </si>
  <si>
    <t>evr_wrk</t>
  </si>
  <si>
    <t>rea_nw</t>
  </si>
  <si>
    <t>rea</t>
  </si>
  <si>
    <t>das17</t>
  </si>
  <si>
    <t>ind17</t>
  </si>
  <si>
    <t>hr17</t>
  </si>
  <si>
    <t>ern17</t>
  </si>
  <si>
    <t>das27</t>
  </si>
  <si>
    <t>ind27</t>
  </si>
  <si>
    <t>hr27</t>
  </si>
  <si>
    <t>ern27</t>
  </si>
  <si>
    <t>hr7</t>
  </si>
  <si>
    <t>ahr7</t>
  </si>
  <si>
    <t>das16</t>
  </si>
  <si>
    <t>ind16</t>
  </si>
  <si>
    <t>hr16</t>
  </si>
  <si>
    <t>ern16</t>
  </si>
  <si>
    <t>das26</t>
  </si>
  <si>
    <t>ind26</t>
  </si>
  <si>
    <t>hr26</t>
  </si>
  <si>
    <t>ern26</t>
  </si>
  <si>
    <t>hr6</t>
  </si>
  <si>
    <t>ahr6</t>
  </si>
  <si>
    <t>das15</t>
  </si>
  <si>
    <t>ind15</t>
  </si>
  <si>
    <t>hr15</t>
  </si>
  <si>
    <t>ern15</t>
  </si>
  <si>
    <t>das25</t>
  </si>
  <si>
    <t>ind25</t>
  </si>
  <si>
    <t>hr25</t>
  </si>
  <si>
    <t>ern25</t>
  </si>
  <si>
    <t>hr5</t>
  </si>
  <si>
    <t>ahr5</t>
  </si>
  <si>
    <t>das14</t>
  </si>
  <si>
    <t>ind14</t>
  </si>
  <si>
    <t>hr14</t>
  </si>
  <si>
    <t>ern14</t>
  </si>
  <si>
    <t>das24</t>
  </si>
  <si>
    <t>ind24</t>
  </si>
  <si>
    <t>hr24</t>
  </si>
  <si>
    <t>ern24</t>
  </si>
  <si>
    <t>hr4</t>
  </si>
  <si>
    <t>ahr4</t>
  </si>
  <si>
    <t>das13</t>
  </si>
  <si>
    <t>ind13</t>
  </si>
  <si>
    <t>hr13</t>
  </si>
  <si>
    <t>ern13</t>
  </si>
  <si>
    <t>das23</t>
  </si>
  <si>
    <t>ind23</t>
  </si>
  <si>
    <t>hr23</t>
  </si>
  <si>
    <t>ern23</t>
  </si>
  <si>
    <t>hr3</t>
  </si>
  <si>
    <t>ahr3</t>
  </si>
  <si>
    <t>das12</t>
  </si>
  <si>
    <t>ind12</t>
  </si>
  <si>
    <t>hr12</t>
  </si>
  <si>
    <t>ern12</t>
  </si>
  <si>
    <t>das22</t>
  </si>
  <si>
    <t>ind22</t>
  </si>
  <si>
    <t>hr22</t>
  </si>
  <si>
    <t>ern22</t>
  </si>
  <si>
    <t>hr2</t>
  </si>
  <si>
    <t>ahr2</t>
  </si>
  <si>
    <t>das11</t>
  </si>
  <si>
    <t>ind11</t>
  </si>
  <si>
    <t>hr11</t>
  </si>
  <si>
    <t>ern11</t>
  </si>
  <si>
    <t>das21</t>
  </si>
  <si>
    <t>ind21</t>
  </si>
  <si>
    <t>hr21</t>
  </si>
  <si>
    <t>ern21</t>
  </si>
  <si>
    <t>hr1</t>
  </si>
  <si>
    <t>ahr1</t>
  </si>
  <si>
    <t>acws</t>
  </si>
  <si>
    <t>aind_cws</t>
  </si>
  <si>
    <t>ocu_cws</t>
  </si>
  <si>
    <t>ern_reg</t>
  </si>
  <si>
    <t>ern_self</t>
  </si>
  <si>
    <t>Occurence of FSUs in State x Sector x Stratum x SubStratum in 4 Quarters</t>
  </si>
  <si>
    <t>Occurence of FSUs in State x Sector x Stratum x SubStratum in that Quarter including earlier visits</t>
  </si>
  <si>
    <t>field_name</t>
  </si>
  <si>
    <t>field_type</t>
  </si>
  <si>
    <t>field_len</t>
  </si>
  <si>
    <t>FSUID</t>
  </si>
  <si>
    <t>C</t>
  </si>
  <si>
    <t>QTR</t>
  </si>
  <si>
    <t>SEC</t>
  </si>
  <si>
    <t>ST</t>
  </si>
  <si>
    <t>N</t>
  </si>
  <si>
    <t>SRO</t>
  </si>
  <si>
    <t>NSS_REG</t>
  </si>
  <si>
    <t>DC</t>
  </si>
  <si>
    <t>SSS</t>
  </si>
  <si>
    <t>SSU</t>
  </si>
  <si>
    <t>VISIT</t>
  </si>
  <si>
    <t>SVC</t>
  </si>
  <si>
    <t>MONTH</t>
  </si>
  <si>
    <t>IDNO</t>
  </si>
  <si>
    <t>HG_SB</t>
  </si>
  <si>
    <t>FL</t>
  </si>
  <si>
    <t>ACTION</t>
  </si>
  <si>
    <t>ERR_CODE</t>
  </si>
  <si>
    <t>VISIT1</t>
  </si>
  <si>
    <t>ERR_CD</t>
  </si>
  <si>
    <t>SRL</t>
  </si>
  <si>
    <t>NAME</t>
  </si>
  <si>
    <t>REL</t>
  </si>
  <si>
    <t>SEX</t>
  </si>
  <si>
    <t>AGE</t>
  </si>
  <si>
    <t>MARST</t>
  </si>
  <si>
    <t>GEDU_LVL</t>
  </si>
  <si>
    <t>TEDU_LVL</t>
  </si>
  <si>
    <t>GRADE</t>
  </si>
  <si>
    <t>YRSBEF1</t>
  </si>
  <si>
    <t>YRSAFT</t>
  </si>
  <si>
    <t>IFLASTYR</t>
  </si>
  <si>
    <t>MNTHS</t>
  </si>
  <si>
    <t>CURR_ATT</t>
  </si>
  <si>
    <t>SECONDARY</t>
  </si>
  <si>
    <t>VOC</t>
  </si>
  <si>
    <t>TRG</t>
  </si>
  <si>
    <t>TRG_COM</t>
  </si>
  <si>
    <t>VOC_COMPL</t>
  </si>
  <si>
    <t>VOC_FLD</t>
  </si>
  <si>
    <t>VOC_DUR</t>
  </si>
  <si>
    <t>VOC_TYP</t>
  </si>
  <si>
    <t>VOC_FUND</t>
  </si>
  <si>
    <t>VOC_CERT</t>
  </si>
  <si>
    <t>PAS</t>
  </si>
  <si>
    <t>DESC_PAS</t>
  </si>
  <si>
    <t>NONAGRI</t>
  </si>
  <si>
    <t>IND_PAS</t>
  </si>
  <si>
    <t>OCU_PAS</t>
  </si>
  <si>
    <t>HAS_SAS</t>
  </si>
  <si>
    <t>LOC_PAS</t>
  </si>
  <si>
    <t>ETYP_PAS</t>
  </si>
  <si>
    <t>WRKR_PAS</t>
  </si>
  <si>
    <t>JOB_PAS</t>
  </si>
  <si>
    <t>LEAVE_PAS</t>
  </si>
  <si>
    <t>SSEC_PAS</t>
  </si>
  <si>
    <t>ECOPRD_PAS</t>
  </si>
  <si>
    <t>B51C15</t>
  </si>
  <si>
    <t>B51C16</t>
  </si>
  <si>
    <t>SAS</t>
  </si>
  <si>
    <t>DESC_SAS</t>
  </si>
  <si>
    <t>NONAGRI2</t>
  </si>
  <si>
    <t>IND_SAS</t>
  </si>
  <si>
    <t>OCU_SAS</t>
  </si>
  <si>
    <t>LOC_SAS</t>
  </si>
  <si>
    <t>ETYP_SAS</t>
  </si>
  <si>
    <t>WRKR_SAS</t>
  </si>
  <si>
    <t>JOB_SAS</t>
  </si>
  <si>
    <t>LEAVE_SAS</t>
  </si>
  <si>
    <t>SSEC_SAS</t>
  </si>
  <si>
    <t>ECOPRD_SAS</t>
  </si>
  <si>
    <t>B52C14</t>
  </si>
  <si>
    <t>B52C15</t>
  </si>
  <si>
    <t>WRK_365</t>
  </si>
  <si>
    <t>DUR_PAS</t>
  </si>
  <si>
    <t>DUR_SAS</t>
  </si>
  <si>
    <t>EFF_PAS</t>
  </si>
  <si>
    <t>DUR_UNP</t>
  </si>
  <si>
    <t>EVR_WRK</t>
  </si>
  <si>
    <t>REA_NW</t>
  </si>
  <si>
    <t>REA</t>
  </si>
  <si>
    <t>DAS17</t>
  </si>
  <si>
    <t>IND17</t>
  </si>
  <si>
    <t>HR17</t>
  </si>
  <si>
    <t>ERN17</t>
  </si>
  <si>
    <t>DAS27</t>
  </si>
  <si>
    <t>IND27</t>
  </si>
  <si>
    <t>HR27</t>
  </si>
  <si>
    <t>ERN27</t>
  </si>
  <si>
    <t>HR7</t>
  </si>
  <si>
    <t>AHR7</t>
  </si>
  <si>
    <t>DAS16</t>
  </si>
  <si>
    <t>IND16</t>
  </si>
  <si>
    <t>HR16</t>
  </si>
  <si>
    <t>ERN16</t>
  </si>
  <si>
    <t>DAS26</t>
  </si>
  <si>
    <t>IND26</t>
  </si>
  <si>
    <t>HR26</t>
  </si>
  <si>
    <t>ERN26</t>
  </si>
  <si>
    <t>HR6</t>
  </si>
  <si>
    <t>AHR6</t>
  </si>
  <si>
    <t>DAS15</t>
  </si>
  <si>
    <t>IND15</t>
  </si>
  <si>
    <t>HR15</t>
  </si>
  <si>
    <t>ERN15</t>
  </si>
  <si>
    <t>DAS25</t>
  </si>
  <si>
    <t>IND25</t>
  </si>
  <si>
    <t>HR25</t>
  </si>
  <si>
    <t>ERN25</t>
  </si>
  <si>
    <t>HR5</t>
  </si>
  <si>
    <t>AHR5</t>
  </si>
  <si>
    <t>DAS14</t>
  </si>
  <si>
    <t>IND14</t>
  </si>
  <si>
    <t>HR14</t>
  </si>
  <si>
    <t>ERN14</t>
  </si>
  <si>
    <t>DAS24</t>
  </si>
  <si>
    <t>IND24</t>
  </si>
  <si>
    <t>HR24</t>
  </si>
  <si>
    <t>ERN24</t>
  </si>
  <si>
    <t>HR4</t>
  </si>
  <si>
    <t>AHR4</t>
  </si>
  <si>
    <t>DAS13</t>
  </si>
  <si>
    <t>IND13</t>
  </si>
  <si>
    <t>HR13</t>
  </si>
  <si>
    <t>ERN13</t>
  </si>
  <si>
    <t>DAS23</t>
  </si>
  <si>
    <t>IND23</t>
  </si>
  <si>
    <t>HR23</t>
  </si>
  <si>
    <t>ERN23</t>
  </si>
  <si>
    <t>HR3</t>
  </si>
  <si>
    <t>AHR3</t>
  </si>
  <si>
    <t>DAS12</t>
  </si>
  <si>
    <t>IND12</t>
  </si>
  <si>
    <t>HR12</t>
  </si>
  <si>
    <t>ERN12</t>
  </si>
  <si>
    <t>DAS22</t>
  </si>
  <si>
    <t>IND22</t>
  </si>
  <si>
    <t>HR22</t>
  </si>
  <si>
    <t>ERN22</t>
  </si>
  <si>
    <t>HR2</t>
  </si>
  <si>
    <t>AHR2</t>
  </si>
  <si>
    <t>DAS11</t>
  </si>
  <si>
    <t>IND11</t>
  </si>
  <si>
    <t>HR11</t>
  </si>
  <si>
    <t>ERN11</t>
  </si>
  <si>
    <t>DAS21</t>
  </si>
  <si>
    <t>IND21</t>
  </si>
  <si>
    <t>HR21</t>
  </si>
  <si>
    <t>ERN21</t>
  </si>
  <si>
    <t>HR1</t>
  </si>
  <si>
    <t>AHR1</t>
  </si>
  <si>
    <t>TOTHRS_WRK</t>
  </si>
  <si>
    <t>TOTADL_WRK</t>
  </si>
  <si>
    <t>CWS</t>
  </si>
  <si>
    <t>DES_CWS</t>
  </si>
  <si>
    <t>IND_CWS</t>
  </si>
  <si>
    <t>OCU_CWS</t>
  </si>
  <si>
    <t>ERN_REG</t>
  </si>
  <si>
    <t>ERN_SELF</t>
  </si>
  <si>
    <t>ERR_4_41</t>
  </si>
  <si>
    <t>ERR_51_52</t>
  </si>
  <si>
    <t>ERR_53</t>
  </si>
  <si>
    <t>ERR_BL6</t>
  </si>
  <si>
    <t>ACWS</t>
  </si>
  <si>
    <t>AIND_CWS</t>
  </si>
  <si>
    <t>DAYS_WRK</t>
  </si>
  <si>
    <t>DAYS_AWRK</t>
  </si>
  <si>
    <t>HOURS_WRK</t>
  </si>
  <si>
    <t>WOULD_WRK</t>
  </si>
  <si>
    <t>ACTUAL_WRK</t>
  </si>
  <si>
    <t>ADDL_WRK</t>
  </si>
  <si>
    <t>DAYS_UN</t>
  </si>
  <si>
    <t>CWS_ORG</t>
  </si>
  <si>
    <t>UPD</t>
  </si>
  <si>
    <t>lposs</t>
  </si>
  <si>
    <t>inc_tot</t>
  </si>
  <si>
    <t>Month</t>
  </si>
  <si>
    <t>month</t>
  </si>
  <si>
    <t>land possessed as on the date of survey (code)</t>
  </si>
  <si>
    <t>Household's total income(Rs.)</t>
  </si>
  <si>
    <t>llease</t>
  </si>
  <si>
    <t>land leased-out as on the date of survey (code)</t>
  </si>
  <si>
    <t>match</t>
  </si>
  <si>
    <t>yrsbef1</t>
  </si>
  <si>
    <t>yrsaft</t>
  </si>
  <si>
    <t>iflastyr</t>
  </si>
  <si>
    <t>mnths</t>
  </si>
  <si>
    <t>grade</t>
  </si>
  <si>
    <t>secondary</t>
  </si>
  <si>
    <t>trg</t>
  </si>
  <si>
    <t>trg_com</t>
  </si>
  <si>
    <t>voc_cert</t>
  </si>
  <si>
    <t>tothrs_wrk</t>
  </si>
  <si>
    <t>totadl_wrk</t>
  </si>
  <si>
    <t>class/grade successfully completed</t>
  </si>
  <si>
    <t xml:space="preserve">year(s) of education completed prior to class I </t>
  </si>
  <si>
    <t>year(s) of education completed after the class/grade recorded in column 10</t>
  </si>
  <si>
    <t>whether the last completed year of education recorded in column 12 was the last year of education attended</t>
  </si>
  <si>
    <t>No. of months attended in the last year of Education</t>
  </si>
  <si>
    <t>whether attended secondary education</t>
  </si>
  <si>
    <t>whether received or receiving any training or course for entrance in higher education or for employment exams by an institute / training center</t>
  </si>
  <si>
    <t xml:space="preserve">when the training / course mentioned in col 17 or col 18 was completed </t>
  </si>
  <si>
    <t>nature of the certifying body from which vocational / technical training received</t>
  </si>
  <si>
    <t>total hours actually worked during the week</t>
  </si>
  <si>
    <t>total hours available for additional work</t>
  </si>
  <si>
    <t>4 (7)</t>
  </si>
  <si>
    <t>4 (8)</t>
  </si>
  <si>
    <t>Multiplier</t>
  </si>
  <si>
    <t>zst</t>
  </si>
  <si>
    <t>caph</t>
  </si>
  <si>
    <t>smallh</t>
  </si>
  <si>
    <t>bstrm</t>
  </si>
  <si>
    <t>Stratum size</t>
  </si>
  <si>
    <t>Number of selected households</t>
  </si>
  <si>
    <t>Number of listed households</t>
  </si>
  <si>
    <t>Basic stratum</t>
  </si>
  <si>
    <t>totalsd</t>
  </si>
  <si>
    <t>Byte Position (Start)</t>
  </si>
  <si>
    <t>Byte Position (End)</t>
  </si>
  <si>
    <t>Group</t>
  </si>
  <si>
    <t>grp</t>
  </si>
  <si>
    <t>Basic Stratum</t>
  </si>
  <si>
    <t>Total Sub-Division</t>
  </si>
  <si>
    <t>Sch. 0.0, block 4.2A, item 3</t>
  </si>
  <si>
    <t>Sch. 0.0, block 6, col. 4</t>
  </si>
  <si>
    <t>Sch. 0.0, block 6, col. 5</t>
  </si>
  <si>
    <t>Ns count (# of FSUs surveyed) for sector x stratum x group x substratum</t>
  </si>
  <si>
    <t>Panel code</t>
  </si>
  <si>
    <t>05' generated</t>
  </si>
  <si>
    <t>panel</t>
  </si>
  <si>
    <t>Sl.No.</t>
  </si>
  <si>
    <t>Household’s usual monthly income from the following sources (Rs.)</t>
  </si>
  <si>
    <t>File: MHH_Q2_Q4_2025.txt  (HOUSEHOLD LEVEL-FIRST VISIT)         RECORD LENTH:128+1</t>
  </si>
  <si>
    <t xml:space="preserve"> File: MPER_Q2_Q4_2025.txt (PERSON LEVEL)             RECORD LENGTH: 301+1</t>
  </si>
  <si>
    <t>MH1</t>
  </si>
  <si>
    <t>MP1</t>
  </si>
  <si>
    <t>Q2 to Q4</t>
  </si>
  <si>
    <t>04 to 12</t>
  </si>
  <si>
    <t>PLFS HOUSEHOLD LEVEL DATA OF QUARTERLY (APRIL-DECEMBER 2025)</t>
  </si>
  <si>
    <t>PLFS PERSON LEVEL DATA OF QUARTERLY (APRIL-DECEMBER 2025)</t>
  </si>
  <si>
    <t>V1 - first visit, V2 - second visit,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</si>
</sst>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sz val="10"/>
      <color rgb="FFFF0000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ahoma"/>
      <family val="2"/>
    </font>
    <font>
      <sz val="9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3" borderId="0" xfId="0" applyFont="1" applyFill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 wrapText="1"/>
    </xf>
    <xf numFmtId="0" fontId="2" fillId="0" borderId="1" xfId="0" quotePrefix="1" applyFont="1" applyBorder="1" applyAlignment="1">
      <alignment vertical="top" wrapText="1"/>
    </xf>
    <xf numFmtId="0" fontId="2" fillId="0" borderId="1" xfId="0" applyFont="1" applyBorder="1" applyAlignment="1">
      <alignment horizontal="right" vertical="top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5" fillId="0" borderId="1" xfId="0" applyFont="1" applyBorder="1"/>
    <xf numFmtId="0" fontId="5" fillId="3" borderId="1" xfId="0" applyFont="1" applyFill="1" applyBorder="1" applyAlignment="1">
      <alignment horizontal="right" vertical="top"/>
    </xf>
    <xf numFmtId="0" fontId="5" fillId="0" borderId="1" xfId="0" quotePrefix="1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3" borderId="1" xfId="0" applyFont="1" applyFill="1" applyBorder="1" applyAlignment="1">
      <alignment horizontal="right" vertical="top"/>
    </xf>
    <xf numFmtId="0" fontId="6" fillId="3" borderId="1" xfId="0" applyFont="1" applyFill="1" applyBorder="1" applyAlignment="1">
      <alignment vertical="top"/>
    </xf>
    <xf numFmtId="0" fontId="5" fillId="0" borderId="1" xfId="0" applyFont="1" applyBorder="1" applyAlignment="1">
      <alignment horizontal="right" vertical="top"/>
    </xf>
    <xf numFmtId="0" fontId="6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right" vertical="top" wrapText="1"/>
    </xf>
    <xf numFmtId="0" fontId="8" fillId="0" borderId="0" xfId="0" applyFont="1"/>
    <xf numFmtId="0" fontId="0" fillId="2" borderId="0" xfId="0" applyFill="1"/>
    <xf numFmtId="0" fontId="8" fillId="2" borderId="0" xfId="0" applyFont="1" applyFill="1"/>
    <xf numFmtId="0" fontId="0" fillId="0" borderId="1" xfId="0" applyBorder="1"/>
    <xf numFmtId="0" fontId="2" fillId="0" borderId="2" xfId="0" applyFont="1" applyBorder="1" applyAlignment="1">
      <alignment vertical="top"/>
    </xf>
    <xf numFmtId="0" fontId="2" fillId="0" borderId="4" xfId="0" applyFont="1" applyBorder="1" applyAlignment="1">
      <alignment horizontal="left" vertical="top"/>
    </xf>
    <xf numFmtId="0" fontId="2" fillId="0" borderId="1" xfId="0" quotePrefix="1" applyFont="1" applyBorder="1"/>
    <xf numFmtId="0" fontId="10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10" fillId="0" borderId="0" xfId="0" applyFont="1" applyAlignment="1">
      <alignment wrapText="1"/>
    </xf>
    <xf numFmtId="0" fontId="12" fillId="0" borderId="1" xfId="0" applyFont="1" applyBorder="1"/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5" borderId="2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9" fillId="4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9"/>
  <sheetViews>
    <sheetView topLeftCell="A136" zoomScaleNormal="100" workbookViewId="0">
      <selection activeCell="H13" sqref="H13"/>
    </sheetView>
  </sheetViews>
  <sheetFormatPr defaultColWidth="0" defaultRowHeight="15.75" zeroHeight="1" x14ac:dyDescent="0.25"/>
  <cols>
    <col min="1" max="1" width="4.42578125" style="2" bestFit="1" customWidth="1"/>
    <col min="2" max="2" width="53.140625" style="2" customWidth="1"/>
    <col min="3" max="3" width="10.5703125" style="2" customWidth="1"/>
    <col min="4" max="4" width="9.7109375" style="2" bestFit="1" customWidth="1"/>
    <col min="5" max="5" width="8.5703125" style="2" customWidth="1"/>
    <col min="6" max="7" width="6.28515625" style="2" customWidth="1"/>
    <col min="8" max="8" width="27.140625" style="2" customWidth="1"/>
    <col min="9" max="10" width="8.85546875" style="2" customWidth="1"/>
    <col min="11" max="16384" width="8.85546875" style="2" hidden="1"/>
  </cols>
  <sheetData>
    <row r="1" spans="1:8" s="13" customFormat="1" x14ac:dyDescent="0.25">
      <c r="A1" s="60" t="s">
        <v>571</v>
      </c>
      <c r="B1" s="60"/>
      <c r="C1" s="60"/>
      <c r="D1" s="60"/>
      <c r="E1" s="60"/>
      <c r="F1" s="60"/>
      <c r="G1" s="60"/>
      <c r="H1" s="60"/>
    </row>
    <row r="2" spans="1:8" x14ac:dyDescent="0.25">
      <c r="A2" s="61" t="s">
        <v>565</v>
      </c>
      <c r="B2" s="61"/>
      <c r="C2" s="61"/>
      <c r="D2" s="61"/>
      <c r="E2" s="61"/>
      <c r="F2" s="61"/>
      <c r="G2" s="61"/>
      <c r="H2" s="61"/>
    </row>
    <row r="3" spans="1:8" ht="31.5" x14ac:dyDescent="0.25">
      <c r="A3" s="14" t="s">
        <v>0</v>
      </c>
      <c r="B3" s="15" t="s">
        <v>1</v>
      </c>
      <c r="C3" s="16" t="s">
        <v>2</v>
      </c>
      <c r="D3" s="16" t="s">
        <v>159</v>
      </c>
      <c r="E3" s="16" t="s">
        <v>3</v>
      </c>
      <c r="F3" s="56" t="s">
        <v>4</v>
      </c>
      <c r="G3" s="57"/>
      <c r="H3" s="14" t="s">
        <v>149</v>
      </c>
    </row>
    <row r="4" spans="1:8" ht="15.6" customHeight="1" x14ac:dyDescent="0.25">
      <c r="A4" s="8">
        <v>1</v>
      </c>
      <c r="B4" s="3" t="s">
        <v>150</v>
      </c>
      <c r="C4" s="5"/>
      <c r="D4" s="6"/>
      <c r="E4" s="8">
        <v>5</v>
      </c>
      <c r="F4" s="8">
        <v>1</v>
      </c>
      <c r="G4" s="8">
        <f>E4</f>
        <v>5</v>
      </c>
      <c r="H4" s="8" t="s">
        <v>567</v>
      </c>
    </row>
    <row r="5" spans="1:8" x14ac:dyDescent="0.25">
      <c r="A5" s="8">
        <v>2</v>
      </c>
      <c r="B5" s="3" t="s">
        <v>23</v>
      </c>
      <c r="C5" s="7">
        <v>1</v>
      </c>
      <c r="D5" s="7">
        <v>2</v>
      </c>
      <c r="E5" s="8">
        <v>3</v>
      </c>
      <c r="F5" s="8">
        <f t="shared" ref="F5:F42" si="0">G4+1</f>
        <v>6</v>
      </c>
      <c r="G5" s="8">
        <f t="shared" ref="G5:G42" si="1">G4+E5</f>
        <v>8</v>
      </c>
      <c r="H5" s="12">
        <v>104</v>
      </c>
    </row>
    <row r="6" spans="1:8" x14ac:dyDescent="0.25">
      <c r="A6" s="8">
        <v>3</v>
      </c>
      <c r="B6" s="3" t="s">
        <v>5</v>
      </c>
      <c r="C6" s="7"/>
      <c r="D6" s="7"/>
      <c r="E6" s="8">
        <v>2</v>
      </c>
      <c r="F6" s="8">
        <f t="shared" si="0"/>
        <v>9</v>
      </c>
      <c r="G6" s="8">
        <f t="shared" si="1"/>
        <v>10</v>
      </c>
      <c r="H6" s="8" t="s">
        <v>569</v>
      </c>
    </row>
    <row r="7" spans="1:8" x14ac:dyDescent="0.25">
      <c r="A7" s="8">
        <v>4</v>
      </c>
      <c r="B7" s="3" t="s">
        <v>509</v>
      </c>
      <c r="C7" s="7"/>
      <c r="D7" s="7"/>
      <c r="E7" s="8">
        <v>2</v>
      </c>
      <c r="F7" s="8">
        <f t="shared" si="0"/>
        <v>11</v>
      </c>
      <c r="G7" s="8">
        <f t="shared" si="1"/>
        <v>12</v>
      </c>
      <c r="H7" s="8" t="s">
        <v>570</v>
      </c>
    </row>
    <row r="8" spans="1:8" ht="31.5" x14ac:dyDescent="0.25">
      <c r="A8" s="8">
        <v>5</v>
      </c>
      <c r="B8" s="3" t="s">
        <v>6</v>
      </c>
      <c r="C8" s="7"/>
      <c r="D8" s="7"/>
      <c r="E8" s="8">
        <v>2</v>
      </c>
      <c r="F8" s="8">
        <f t="shared" si="0"/>
        <v>13</v>
      </c>
      <c r="G8" s="8">
        <f t="shared" si="1"/>
        <v>14</v>
      </c>
      <c r="H8" s="20" t="s">
        <v>573</v>
      </c>
    </row>
    <row r="9" spans="1:8" x14ac:dyDescent="0.25">
      <c r="A9" s="8">
        <v>6</v>
      </c>
      <c r="B9" s="3" t="s">
        <v>7</v>
      </c>
      <c r="C9" s="7">
        <v>1</v>
      </c>
      <c r="D9" s="7">
        <v>3</v>
      </c>
      <c r="E9" s="8">
        <v>1</v>
      </c>
      <c r="F9" s="8">
        <f t="shared" si="0"/>
        <v>15</v>
      </c>
      <c r="G9" s="8">
        <f t="shared" si="1"/>
        <v>15</v>
      </c>
      <c r="H9" s="8"/>
    </row>
    <row r="10" spans="1:8" x14ac:dyDescent="0.25">
      <c r="A10" s="8">
        <v>7</v>
      </c>
      <c r="B10" s="3" t="s">
        <v>11</v>
      </c>
      <c r="C10" s="7">
        <v>0</v>
      </c>
      <c r="D10" s="7">
        <v>1</v>
      </c>
      <c r="E10" s="8">
        <v>2</v>
      </c>
      <c r="F10" s="8">
        <f t="shared" si="0"/>
        <v>16</v>
      </c>
      <c r="G10" s="8">
        <f t="shared" si="1"/>
        <v>17</v>
      </c>
      <c r="H10" s="8"/>
    </row>
    <row r="11" spans="1:8" x14ac:dyDescent="0.25">
      <c r="A11" s="8">
        <v>8</v>
      </c>
      <c r="B11" s="9" t="s">
        <v>160</v>
      </c>
      <c r="C11" s="10">
        <v>1</v>
      </c>
      <c r="D11" s="10">
        <v>5</v>
      </c>
      <c r="E11" s="11">
        <v>2</v>
      </c>
      <c r="F11" s="8">
        <f t="shared" si="0"/>
        <v>18</v>
      </c>
      <c r="G11" s="8">
        <f t="shared" si="1"/>
        <v>19</v>
      </c>
      <c r="H11" s="8"/>
    </row>
    <row r="12" spans="1:8" x14ac:dyDescent="0.25">
      <c r="A12" s="8">
        <v>9</v>
      </c>
      <c r="B12" s="9" t="s">
        <v>31</v>
      </c>
      <c r="C12" s="10">
        <v>1</v>
      </c>
      <c r="D12" s="10">
        <v>4</v>
      </c>
      <c r="E12" s="11">
        <v>3</v>
      </c>
      <c r="F12" s="8">
        <f t="shared" si="0"/>
        <v>20</v>
      </c>
      <c r="G12" s="8">
        <f t="shared" si="1"/>
        <v>22</v>
      </c>
      <c r="H12" s="8"/>
    </row>
    <row r="13" spans="1:8" x14ac:dyDescent="0.25">
      <c r="A13" s="8">
        <v>10</v>
      </c>
      <c r="B13" s="9" t="s">
        <v>554</v>
      </c>
      <c r="C13" s="10"/>
      <c r="D13" s="10"/>
      <c r="E13" s="11">
        <v>4</v>
      </c>
      <c r="F13" s="8">
        <f t="shared" si="0"/>
        <v>23</v>
      </c>
      <c r="G13" s="8">
        <f t="shared" si="1"/>
        <v>26</v>
      </c>
      <c r="H13" s="8"/>
    </row>
    <row r="14" spans="1:8" x14ac:dyDescent="0.25">
      <c r="A14" s="8">
        <v>11</v>
      </c>
      <c r="B14" s="3" t="s">
        <v>12</v>
      </c>
      <c r="C14" s="7">
        <v>1</v>
      </c>
      <c r="D14" s="7">
        <v>6</v>
      </c>
      <c r="E14" s="8">
        <v>3</v>
      </c>
      <c r="F14" s="8">
        <f t="shared" si="0"/>
        <v>27</v>
      </c>
      <c r="G14" s="8">
        <f t="shared" si="1"/>
        <v>29</v>
      </c>
      <c r="H14" s="8"/>
    </row>
    <row r="15" spans="1:8" x14ac:dyDescent="0.25">
      <c r="A15" s="8">
        <v>12</v>
      </c>
      <c r="B15" s="3" t="s">
        <v>552</v>
      </c>
      <c r="C15" s="7"/>
      <c r="D15" s="7"/>
      <c r="E15" s="8">
        <v>1</v>
      </c>
      <c r="F15" s="8">
        <f t="shared" si="0"/>
        <v>30</v>
      </c>
      <c r="G15" s="8">
        <f t="shared" si="1"/>
        <v>30</v>
      </c>
      <c r="H15" s="8"/>
    </row>
    <row r="16" spans="1:8" x14ac:dyDescent="0.25">
      <c r="A16" s="8">
        <v>13</v>
      </c>
      <c r="B16" s="3" t="s">
        <v>13</v>
      </c>
      <c r="C16" s="7">
        <v>1</v>
      </c>
      <c r="D16" s="7">
        <v>7</v>
      </c>
      <c r="E16" s="8">
        <v>2</v>
      </c>
      <c r="F16" s="8">
        <f t="shared" si="0"/>
        <v>31</v>
      </c>
      <c r="G16" s="8">
        <f t="shared" si="1"/>
        <v>32</v>
      </c>
      <c r="H16" s="8"/>
    </row>
    <row r="17" spans="1:8" x14ac:dyDescent="0.25">
      <c r="A17" s="8">
        <v>14</v>
      </c>
      <c r="B17" s="3" t="s">
        <v>15</v>
      </c>
      <c r="C17" s="5">
        <v>1</v>
      </c>
      <c r="D17" s="5">
        <v>12</v>
      </c>
      <c r="E17" s="8">
        <v>4</v>
      </c>
      <c r="F17" s="8">
        <f t="shared" si="0"/>
        <v>33</v>
      </c>
      <c r="G17" s="8">
        <f t="shared" si="1"/>
        <v>36</v>
      </c>
      <c r="H17" s="8"/>
    </row>
    <row r="18" spans="1:8" x14ac:dyDescent="0.25">
      <c r="A18" s="8">
        <v>15</v>
      </c>
      <c r="B18" s="3" t="s">
        <v>151</v>
      </c>
      <c r="C18" s="7">
        <v>1</v>
      </c>
      <c r="D18" s="7">
        <v>1</v>
      </c>
      <c r="E18" s="8">
        <v>5</v>
      </c>
      <c r="F18" s="8">
        <f t="shared" si="0"/>
        <v>37</v>
      </c>
      <c r="G18" s="8">
        <f t="shared" si="1"/>
        <v>41</v>
      </c>
      <c r="H18" s="8"/>
    </row>
    <row r="19" spans="1:8" x14ac:dyDescent="0.25">
      <c r="A19" s="8">
        <v>16</v>
      </c>
      <c r="B19" s="3" t="s">
        <v>9</v>
      </c>
      <c r="C19" s="7">
        <v>1</v>
      </c>
      <c r="D19" s="7">
        <v>15</v>
      </c>
      <c r="E19" s="8">
        <v>1</v>
      </c>
      <c r="F19" s="8">
        <f t="shared" si="0"/>
        <v>42</v>
      </c>
      <c r="G19" s="8">
        <f t="shared" si="1"/>
        <v>42</v>
      </c>
      <c r="H19" s="8"/>
    </row>
    <row r="20" spans="1:8" x14ac:dyDescent="0.25">
      <c r="A20" s="8">
        <v>17</v>
      </c>
      <c r="B20" s="3" t="s">
        <v>10</v>
      </c>
      <c r="C20" s="7">
        <v>1</v>
      </c>
      <c r="D20" s="7">
        <v>16</v>
      </c>
      <c r="E20" s="8">
        <v>2</v>
      </c>
      <c r="F20" s="8">
        <f t="shared" si="0"/>
        <v>43</v>
      </c>
      <c r="G20" s="8">
        <f t="shared" si="1"/>
        <v>44</v>
      </c>
      <c r="H20" s="8"/>
    </row>
    <row r="21" spans="1:8" x14ac:dyDescent="0.25">
      <c r="A21" s="8">
        <v>18</v>
      </c>
      <c r="B21" s="3" t="s">
        <v>24</v>
      </c>
      <c r="C21" s="7">
        <v>1</v>
      </c>
      <c r="D21" s="7">
        <v>10</v>
      </c>
      <c r="E21" s="8">
        <v>2</v>
      </c>
      <c r="F21" s="8">
        <f t="shared" si="0"/>
        <v>45</v>
      </c>
      <c r="G21" s="8">
        <f t="shared" si="1"/>
        <v>46</v>
      </c>
      <c r="H21" s="8"/>
    </row>
    <row r="22" spans="1:8" x14ac:dyDescent="0.25">
      <c r="A22" s="8">
        <v>19</v>
      </c>
      <c r="B22" s="3" t="s">
        <v>25</v>
      </c>
      <c r="C22" s="7">
        <v>1</v>
      </c>
      <c r="D22" s="7">
        <v>18</v>
      </c>
      <c r="E22" s="8">
        <v>1</v>
      </c>
      <c r="F22" s="8">
        <f t="shared" si="0"/>
        <v>47</v>
      </c>
      <c r="G22" s="8">
        <f t="shared" si="1"/>
        <v>47</v>
      </c>
      <c r="H22" s="8"/>
    </row>
    <row r="23" spans="1:8" x14ac:dyDescent="0.25">
      <c r="A23" s="8">
        <v>20</v>
      </c>
      <c r="B23" s="3" t="s">
        <v>16</v>
      </c>
      <c r="C23" s="7">
        <v>1</v>
      </c>
      <c r="D23" s="7">
        <v>19</v>
      </c>
      <c r="E23" s="8">
        <v>1</v>
      </c>
      <c r="F23" s="8">
        <f t="shared" si="0"/>
        <v>48</v>
      </c>
      <c r="G23" s="8">
        <f t="shared" si="1"/>
        <v>48</v>
      </c>
      <c r="H23" s="8"/>
    </row>
    <row r="24" spans="1:8" x14ac:dyDescent="0.25">
      <c r="A24" s="8">
        <v>21</v>
      </c>
      <c r="B24" s="3" t="s">
        <v>27</v>
      </c>
      <c r="C24" s="7">
        <v>1</v>
      </c>
      <c r="D24" s="7">
        <v>20</v>
      </c>
      <c r="E24" s="8">
        <v>1</v>
      </c>
      <c r="F24" s="8">
        <f t="shared" si="0"/>
        <v>49</v>
      </c>
      <c r="G24" s="8">
        <f t="shared" si="1"/>
        <v>49</v>
      </c>
      <c r="H24" s="8"/>
    </row>
    <row r="25" spans="1:8" x14ac:dyDescent="0.25">
      <c r="A25" s="8">
        <v>22</v>
      </c>
      <c r="B25" s="3" t="s">
        <v>18</v>
      </c>
      <c r="C25" s="7">
        <v>3</v>
      </c>
      <c r="D25" s="7">
        <v>1</v>
      </c>
      <c r="E25" s="8">
        <v>2</v>
      </c>
      <c r="F25" s="8">
        <f t="shared" si="0"/>
        <v>50</v>
      </c>
      <c r="G25" s="8">
        <f t="shared" si="1"/>
        <v>51</v>
      </c>
      <c r="H25" s="8"/>
    </row>
    <row r="26" spans="1:8" x14ac:dyDescent="0.25">
      <c r="A26" s="8">
        <v>23</v>
      </c>
      <c r="B26" s="3" t="s">
        <v>19</v>
      </c>
      <c r="C26" s="7">
        <v>3</v>
      </c>
      <c r="D26" s="7">
        <v>2</v>
      </c>
      <c r="E26" s="8">
        <v>1</v>
      </c>
      <c r="F26" s="8">
        <f t="shared" si="0"/>
        <v>52</v>
      </c>
      <c r="G26" s="8">
        <f t="shared" si="1"/>
        <v>52</v>
      </c>
      <c r="H26" s="8"/>
    </row>
    <row r="27" spans="1:8" x14ac:dyDescent="0.25">
      <c r="A27" s="8">
        <v>24</v>
      </c>
      <c r="B27" s="3" t="s">
        <v>20</v>
      </c>
      <c r="C27" s="7">
        <v>3</v>
      </c>
      <c r="D27" s="7">
        <v>3</v>
      </c>
      <c r="E27" s="8">
        <v>1</v>
      </c>
      <c r="F27" s="8">
        <f t="shared" si="0"/>
        <v>53</v>
      </c>
      <c r="G27" s="8">
        <f t="shared" si="1"/>
        <v>53</v>
      </c>
      <c r="H27" s="8"/>
    </row>
    <row r="28" spans="1:8" x14ac:dyDescent="0.25">
      <c r="A28" s="8">
        <v>25</v>
      </c>
      <c r="B28" s="3" t="s">
        <v>21</v>
      </c>
      <c r="C28" s="7">
        <v>3</v>
      </c>
      <c r="D28" s="7">
        <v>4</v>
      </c>
      <c r="E28" s="8">
        <v>1</v>
      </c>
      <c r="F28" s="8">
        <f t="shared" si="0"/>
        <v>54</v>
      </c>
      <c r="G28" s="8">
        <f t="shared" si="1"/>
        <v>54</v>
      </c>
      <c r="H28" s="8"/>
    </row>
    <row r="29" spans="1:8" ht="20.25" customHeight="1" x14ac:dyDescent="0.25">
      <c r="A29" s="8">
        <v>26</v>
      </c>
      <c r="B29" s="23" t="s">
        <v>22</v>
      </c>
      <c r="C29" s="10">
        <v>3</v>
      </c>
      <c r="D29" s="10">
        <v>5.6</v>
      </c>
      <c r="E29" s="22">
        <v>10</v>
      </c>
      <c r="F29" s="8">
        <f t="shared" si="0"/>
        <v>55</v>
      </c>
      <c r="G29" s="8">
        <f t="shared" si="1"/>
        <v>64</v>
      </c>
      <c r="H29" s="5"/>
    </row>
    <row r="30" spans="1:8" ht="20.25" customHeight="1" x14ac:dyDescent="0.25">
      <c r="A30" s="8">
        <v>27</v>
      </c>
      <c r="B30" s="23" t="s">
        <v>511</v>
      </c>
      <c r="C30" s="10">
        <v>3</v>
      </c>
      <c r="D30" s="10">
        <v>6.1</v>
      </c>
      <c r="E30" s="22">
        <v>2</v>
      </c>
      <c r="F30" s="8">
        <f t="shared" si="0"/>
        <v>65</v>
      </c>
      <c r="G30" s="8">
        <f t="shared" si="1"/>
        <v>66</v>
      </c>
      <c r="H30" s="5"/>
    </row>
    <row r="31" spans="1:8" ht="20.25" customHeight="1" x14ac:dyDescent="0.25">
      <c r="A31" s="8">
        <v>28</v>
      </c>
      <c r="B31" s="23" t="s">
        <v>514</v>
      </c>
      <c r="C31" s="10">
        <v>3</v>
      </c>
      <c r="D31" s="10">
        <v>6.2</v>
      </c>
      <c r="E31" s="22">
        <v>2</v>
      </c>
      <c r="F31" s="8">
        <f t="shared" si="0"/>
        <v>67</v>
      </c>
      <c r="G31" s="8">
        <f t="shared" si="1"/>
        <v>68</v>
      </c>
      <c r="H31" s="5"/>
    </row>
    <row r="32" spans="1:8" ht="20.25" customHeight="1" x14ac:dyDescent="0.25">
      <c r="A32" s="8">
        <v>29</v>
      </c>
      <c r="B32" s="23" t="s">
        <v>564</v>
      </c>
      <c r="C32" s="10">
        <v>3</v>
      </c>
      <c r="D32" s="10">
        <v>7.5</v>
      </c>
      <c r="E32" s="22">
        <v>10</v>
      </c>
      <c r="F32" s="8">
        <f t="shared" si="0"/>
        <v>69</v>
      </c>
      <c r="G32" s="8">
        <f t="shared" si="1"/>
        <v>78</v>
      </c>
      <c r="H32" s="5"/>
    </row>
    <row r="33" spans="1:8" x14ac:dyDescent="0.25">
      <c r="A33" s="8">
        <v>30</v>
      </c>
      <c r="B33" s="9" t="s">
        <v>26</v>
      </c>
      <c r="C33" s="10">
        <v>1</v>
      </c>
      <c r="D33" s="10">
        <v>17</v>
      </c>
      <c r="E33" s="11">
        <v>2</v>
      </c>
      <c r="F33" s="8">
        <f t="shared" si="0"/>
        <v>79</v>
      </c>
      <c r="G33" s="8">
        <f t="shared" si="1"/>
        <v>80</v>
      </c>
      <c r="H33" s="8"/>
    </row>
    <row r="34" spans="1:8" ht="15" customHeight="1" x14ac:dyDescent="0.25">
      <c r="A34" s="8">
        <v>31</v>
      </c>
      <c r="B34" s="9" t="s">
        <v>28</v>
      </c>
      <c r="C34" s="10">
        <v>2</v>
      </c>
      <c r="D34" s="10" t="s">
        <v>29</v>
      </c>
      <c r="E34" s="11">
        <v>10</v>
      </c>
      <c r="F34" s="8">
        <f t="shared" si="0"/>
        <v>81</v>
      </c>
      <c r="G34" s="8">
        <f t="shared" si="1"/>
        <v>90</v>
      </c>
      <c r="H34" s="8"/>
    </row>
    <row r="35" spans="1:8" x14ac:dyDescent="0.25">
      <c r="A35" s="8">
        <v>32</v>
      </c>
      <c r="B35" s="9" t="s">
        <v>17</v>
      </c>
      <c r="C35" s="10">
        <v>2</v>
      </c>
      <c r="D35" s="10">
        <v>4</v>
      </c>
      <c r="E35" s="11">
        <v>4</v>
      </c>
      <c r="F35" s="8">
        <f t="shared" si="0"/>
        <v>91</v>
      </c>
      <c r="G35" s="8">
        <f t="shared" si="1"/>
        <v>94</v>
      </c>
      <c r="H35" s="8"/>
    </row>
    <row r="36" spans="1:8" ht="21.75" customHeight="1" x14ac:dyDescent="0.25">
      <c r="A36" s="8">
        <v>33</v>
      </c>
      <c r="B36" s="23" t="s">
        <v>559</v>
      </c>
      <c r="C36" s="23"/>
      <c r="D36" s="32"/>
      <c r="E36" s="11">
        <v>3</v>
      </c>
      <c r="F36" s="8">
        <f t="shared" si="0"/>
        <v>95</v>
      </c>
      <c r="G36" s="8">
        <f t="shared" si="1"/>
        <v>97</v>
      </c>
      <c r="H36" s="8"/>
    </row>
    <row r="37" spans="1:8" x14ac:dyDescent="0.25">
      <c r="A37" s="8">
        <v>34</v>
      </c>
      <c r="B37" s="23" t="s">
        <v>540</v>
      </c>
      <c r="C37" s="23"/>
      <c r="D37" s="32"/>
      <c r="E37" s="11">
        <v>10</v>
      </c>
      <c r="F37" s="8">
        <f t="shared" si="0"/>
        <v>98</v>
      </c>
      <c r="G37" s="8">
        <f t="shared" si="1"/>
        <v>107</v>
      </c>
      <c r="H37" s="8"/>
    </row>
    <row r="38" spans="1:8" ht="21.75" customHeight="1" x14ac:dyDescent="0.25">
      <c r="A38" s="8">
        <v>35</v>
      </c>
      <c r="B38" s="23" t="s">
        <v>555</v>
      </c>
      <c r="C38" s="23"/>
      <c r="D38" s="32"/>
      <c r="E38" s="11">
        <v>3</v>
      </c>
      <c r="F38" s="8">
        <f t="shared" si="0"/>
        <v>108</v>
      </c>
      <c r="G38" s="8">
        <f t="shared" si="1"/>
        <v>110</v>
      </c>
      <c r="H38" s="8" t="s">
        <v>556</v>
      </c>
    </row>
    <row r="39" spans="1:8" x14ac:dyDescent="0.25">
      <c r="A39" s="8">
        <v>36</v>
      </c>
      <c r="B39" s="23" t="s">
        <v>545</v>
      </c>
      <c r="C39" s="23"/>
      <c r="D39" s="32"/>
      <c r="E39" s="11">
        <v>10</v>
      </c>
      <c r="F39" s="8">
        <f t="shared" si="0"/>
        <v>111</v>
      </c>
      <c r="G39" s="8">
        <f t="shared" si="1"/>
        <v>120</v>
      </c>
      <c r="H39" s="8"/>
    </row>
    <row r="40" spans="1:8" x14ac:dyDescent="0.25">
      <c r="A40" s="8">
        <v>37</v>
      </c>
      <c r="B40" s="23" t="s">
        <v>547</v>
      </c>
      <c r="C40" s="23"/>
      <c r="D40" s="33"/>
      <c r="E40" s="11">
        <v>4</v>
      </c>
      <c r="F40" s="8">
        <f t="shared" si="0"/>
        <v>121</v>
      </c>
      <c r="G40" s="8">
        <f t="shared" si="1"/>
        <v>124</v>
      </c>
      <c r="H40" s="8" t="s">
        <v>557</v>
      </c>
    </row>
    <row r="41" spans="1:8" x14ac:dyDescent="0.25">
      <c r="A41" s="8">
        <v>38</v>
      </c>
      <c r="B41" s="23" t="s">
        <v>546</v>
      </c>
      <c r="C41" s="23"/>
      <c r="D41" s="42"/>
      <c r="E41" s="11">
        <v>2</v>
      </c>
      <c r="F41" s="8">
        <f t="shared" si="0"/>
        <v>125</v>
      </c>
      <c r="G41" s="8">
        <f t="shared" si="1"/>
        <v>126</v>
      </c>
      <c r="H41" s="8" t="s">
        <v>558</v>
      </c>
    </row>
    <row r="42" spans="1:8" x14ac:dyDescent="0.25">
      <c r="A42" s="8">
        <v>39</v>
      </c>
      <c r="B42" s="1" t="s">
        <v>560</v>
      </c>
      <c r="C42" s="1"/>
      <c r="D42" s="1"/>
      <c r="E42" s="1">
        <v>2</v>
      </c>
      <c r="F42" s="8">
        <f t="shared" si="0"/>
        <v>127</v>
      </c>
      <c r="G42" s="8">
        <f t="shared" si="1"/>
        <v>128</v>
      </c>
      <c r="H42" s="45" t="s">
        <v>561</v>
      </c>
    </row>
    <row r="43" spans="1:8" x14ac:dyDescent="0.25">
      <c r="A43"/>
    </row>
    <row r="44" spans="1:8" x14ac:dyDescent="0.25">
      <c r="A44"/>
    </row>
    <row r="45" spans="1:8" x14ac:dyDescent="0.25">
      <c r="A45" s="62" t="s">
        <v>572</v>
      </c>
      <c r="B45" s="62"/>
      <c r="C45" s="62"/>
      <c r="D45" s="62"/>
      <c r="E45" s="62"/>
      <c r="F45" s="62"/>
      <c r="G45" s="62"/>
      <c r="H45" s="62"/>
    </row>
    <row r="46" spans="1:8" x14ac:dyDescent="0.25">
      <c r="A46" s="61" t="s">
        <v>566</v>
      </c>
      <c r="B46" s="61"/>
      <c r="C46" s="61"/>
      <c r="D46" s="61"/>
      <c r="E46" s="61"/>
      <c r="F46" s="61"/>
      <c r="G46" s="61"/>
      <c r="H46" s="61"/>
    </row>
    <row r="47" spans="1:8" ht="31.5" x14ac:dyDescent="0.25">
      <c r="A47" s="14" t="s">
        <v>0</v>
      </c>
      <c r="B47" s="17" t="s">
        <v>1</v>
      </c>
      <c r="C47" s="18" t="s">
        <v>2</v>
      </c>
      <c r="D47" s="19" t="s">
        <v>159</v>
      </c>
      <c r="E47" s="19" t="s">
        <v>3</v>
      </c>
      <c r="F47" s="63" t="s">
        <v>4</v>
      </c>
      <c r="G47" s="64"/>
      <c r="H47" s="17" t="s">
        <v>149</v>
      </c>
    </row>
    <row r="48" spans="1:8" x14ac:dyDescent="0.25">
      <c r="A48" s="8">
        <v>1</v>
      </c>
      <c r="B48" s="3" t="s">
        <v>150</v>
      </c>
      <c r="C48" s="58"/>
      <c r="D48" s="59"/>
      <c r="E48" s="8">
        <v>5</v>
      </c>
      <c r="F48" s="8">
        <v>1</v>
      </c>
      <c r="G48" s="43">
        <f>E48</f>
        <v>5</v>
      </c>
      <c r="H48" s="44" t="s">
        <v>568</v>
      </c>
    </row>
    <row r="49" spans="1:8" x14ac:dyDescent="0.25">
      <c r="A49" s="8">
        <v>2</v>
      </c>
      <c r="B49" s="3" t="s">
        <v>23</v>
      </c>
      <c r="C49" s="21">
        <v>1</v>
      </c>
      <c r="D49" s="21">
        <v>2</v>
      </c>
      <c r="E49" s="8">
        <v>3</v>
      </c>
      <c r="F49" s="8">
        <f t="shared" ref="F49:F112" si="2">G48+1</f>
        <v>6</v>
      </c>
      <c r="G49" s="8">
        <f t="shared" ref="G49:G112" si="3">G48+E49</f>
        <v>8</v>
      </c>
      <c r="H49" s="44">
        <v>104</v>
      </c>
    </row>
    <row r="50" spans="1:8" x14ac:dyDescent="0.25">
      <c r="A50" s="8">
        <v>3</v>
      </c>
      <c r="B50" s="3" t="s">
        <v>5</v>
      </c>
      <c r="C50" s="21"/>
      <c r="D50" s="21"/>
      <c r="E50" s="8">
        <v>2</v>
      </c>
      <c r="F50" s="8">
        <f t="shared" si="2"/>
        <v>9</v>
      </c>
      <c r="G50" s="8">
        <f t="shared" si="3"/>
        <v>10</v>
      </c>
      <c r="H50" s="8" t="s">
        <v>569</v>
      </c>
    </row>
    <row r="51" spans="1:8" x14ac:dyDescent="0.25">
      <c r="A51" s="8">
        <v>4</v>
      </c>
      <c r="B51" s="3" t="s">
        <v>509</v>
      </c>
      <c r="C51" s="21"/>
      <c r="D51" s="21"/>
      <c r="E51" s="8">
        <v>2</v>
      </c>
      <c r="F51" s="8">
        <f t="shared" si="2"/>
        <v>11</v>
      </c>
      <c r="G51" s="8">
        <f t="shared" si="3"/>
        <v>12</v>
      </c>
      <c r="H51" s="8" t="s">
        <v>570</v>
      </c>
    </row>
    <row r="52" spans="1:8" ht="31.5" x14ac:dyDescent="0.25">
      <c r="A52" s="8">
        <v>5</v>
      </c>
      <c r="B52" s="3" t="s">
        <v>6</v>
      </c>
      <c r="C52" s="21"/>
      <c r="D52" s="21"/>
      <c r="E52" s="8">
        <v>2</v>
      </c>
      <c r="F52" s="8">
        <f t="shared" si="2"/>
        <v>13</v>
      </c>
      <c r="G52" s="8">
        <f t="shared" si="3"/>
        <v>14</v>
      </c>
      <c r="H52" s="20" t="s">
        <v>573</v>
      </c>
    </row>
    <row r="53" spans="1:8" x14ac:dyDescent="0.25">
      <c r="A53" s="8">
        <v>6</v>
      </c>
      <c r="B53" s="3" t="s">
        <v>7</v>
      </c>
      <c r="C53" s="7">
        <v>1</v>
      </c>
      <c r="D53" s="7">
        <v>3</v>
      </c>
      <c r="E53" s="8">
        <v>1</v>
      </c>
      <c r="F53" s="8">
        <f t="shared" si="2"/>
        <v>15</v>
      </c>
      <c r="G53" s="8">
        <f t="shared" si="3"/>
        <v>15</v>
      </c>
      <c r="H53" s="8"/>
    </row>
    <row r="54" spans="1:8" x14ac:dyDescent="0.25">
      <c r="A54" s="8">
        <v>7</v>
      </c>
      <c r="B54" s="3" t="s">
        <v>11</v>
      </c>
      <c r="C54" s="7">
        <v>0</v>
      </c>
      <c r="D54" s="7">
        <v>1</v>
      </c>
      <c r="E54" s="8">
        <v>2</v>
      </c>
      <c r="F54" s="8">
        <f t="shared" si="2"/>
        <v>16</v>
      </c>
      <c r="G54" s="8">
        <f t="shared" si="3"/>
        <v>17</v>
      </c>
      <c r="H54" s="8"/>
    </row>
    <row r="55" spans="1:8" x14ac:dyDescent="0.25">
      <c r="A55" s="8">
        <v>8</v>
      </c>
      <c r="B55" s="9" t="s">
        <v>160</v>
      </c>
      <c r="C55" s="10">
        <v>1</v>
      </c>
      <c r="D55" s="10">
        <v>5</v>
      </c>
      <c r="E55" s="8">
        <v>2</v>
      </c>
      <c r="F55" s="8">
        <f t="shared" si="2"/>
        <v>18</v>
      </c>
      <c r="G55" s="8">
        <f t="shared" si="3"/>
        <v>19</v>
      </c>
      <c r="H55" s="8"/>
    </row>
    <row r="56" spans="1:8" x14ac:dyDescent="0.25">
      <c r="A56" s="8">
        <v>9</v>
      </c>
      <c r="B56" s="9" t="s">
        <v>31</v>
      </c>
      <c r="C56" s="10">
        <v>1</v>
      </c>
      <c r="D56" s="10">
        <v>4</v>
      </c>
      <c r="E56" s="8">
        <v>3</v>
      </c>
      <c r="F56" s="8">
        <f t="shared" si="2"/>
        <v>20</v>
      </c>
      <c r="G56" s="8">
        <f t="shared" si="3"/>
        <v>22</v>
      </c>
      <c r="H56" s="8"/>
    </row>
    <row r="57" spans="1:8" x14ac:dyDescent="0.25">
      <c r="A57" s="8">
        <v>10</v>
      </c>
      <c r="B57" s="9" t="s">
        <v>554</v>
      </c>
      <c r="C57" s="10"/>
      <c r="D57" s="10"/>
      <c r="E57" s="11">
        <v>4</v>
      </c>
      <c r="F57" s="8">
        <f t="shared" si="2"/>
        <v>23</v>
      </c>
      <c r="G57" s="8">
        <f t="shared" si="3"/>
        <v>26</v>
      </c>
      <c r="H57" s="8"/>
    </row>
    <row r="58" spans="1:8" x14ac:dyDescent="0.25">
      <c r="A58" s="8">
        <v>11</v>
      </c>
      <c r="B58" s="3" t="s">
        <v>12</v>
      </c>
      <c r="C58" s="7">
        <v>1</v>
      </c>
      <c r="D58" s="7">
        <v>6</v>
      </c>
      <c r="E58" s="8">
        <v>3</v>
      </c>
      <c r="F58" s="8">
        <f t="shared" si="2"/>
        <v>27</v>
      </c>
      <c r="G58" s="8">
        <f t="shared" si="3"/>
        <v>29</v>
      </c>
      <c r="H58" s="8"/>
    </row>
    <row r="59" spans="1:8" x14ac:dyDescent="0.25">
      <c r="A59" s="8">
        <v>12</v>
      </c>
      <c r="B59" s="3" t="s">
        <v>552</v>
      </c>
      <c r="C59" s="7"/>
      <c r="D59" s="7"/>
      <c r="E59" s="8">
        <v>1</v>
      </c>
      <c r="F59" s="8">
        <f t="shared" si="2"/>
        <v>30</v>
      </c>
      <c r="G59" s="8">
        <f t="shared" si="3"/>
        <v>30</v>
      </c>
      <c r="H59" s="8"/>
    </row>
    <row r="60" spans="1:8" x14ac:dyDescent="0.25">
      <c r="A60" s="8">
        <v>13</v>
      </c>
      <c r="B60" s="3" t="s">
        <v>13</v>
      </c>
      <c r="C60" s="8">
        <v>1</v>
      </c>
      <c r="D60" s="8">
        <v>7</v>
      </c>
      <c r="E60" s="8">
        <v>2</v>
      </c>
      <c r="F60" s="8">
        <f t="shared" si="2"/>
        <v>31</v>
      </c>
      <c r="G60" s="8">
        <f t="shared" si="3"/>
        <v>32</v>
      </c>
      <c r="H60" s="12"/>
    </row>
    <row r="61" spans="1:8" x14ac:dyDescent="0.25">
      <c r="A61" s="8">
        <v>14</v>
      </c>
      <c r="B61" s="3" t="s">
        <v>15</v>
      </c>
      <c r="C61" s="8">
        <v>1</v>
      </c>
      <c r="D61" s="8">
        <v>12</v>
      </c>
      <c r="E61" s="8">
        <v>4</v>
      </c>
      <c r="F61" s="8">
        <f t="shared" si="2"/>
        <v>33</v>
      </c>
      <c r="G61" s="8">
        <f t="shared" si="3"/>
        <v>36</v>
      </c>
    </row>
    <row r="62" spans="1:8" x14ac:dyDescent="0.25">
      <c r="A62" s="8">
        <v>15</v>
      </c>
      <c r="B62" s="3" t="s">
        <v>151</v>
      </c>
      <c r="C62" s="8">
        <v>1</v>
      </c>
      <c r="D62" s="8">
        <v>1</v>
      </c>
      <c r="E62" s="8">
        <v>5</v>
      </c>
      <c r="F62" s="8">
        <f t="shared" si="2"/>
        <v>37</v>
      </c>
      <c r="G62" s="8">
        <f t="shared" si="3"/>
        <v>41</v>
      </c>
      <c r="H62" s="8"/>
    </row>
    <row r="63" spans="1:8" x14ac:dyDescent="0.25">
      <c r="A63" s="8">
        <v>16</v>
      </c>
      <c r="B63" s="3" t="s">
        <v>9</v>
      </c>
      <c r="C63" s="8">
        <v>1</v>
      </c>
      <c r="D63" s="8">
        <v>15</v>
      </c>
      <c r="E63" s="8">
        <v>1</v>
      </c>
      <c r="F63" s="8">
        <f t="shared" si="2"/>
        <v>42</v>
      </c>
      <c r="G63" s="8">
        <f t="shared" si="3"/>
        <v>42</v>
      </c>
      <c r="H63" s="8"/>
    </row>
    <row r="64" spans="1:8" x14ac:dyDescent="0.25">
      <c r="A64" s="8">
        <v>17</v>
      </c>
      <c r="B64" s="3" t="s">
        <v>10</v>
      </c>
      <c r="C64" s="8">
        <v>1</v>
      </c>
      <c r="D64" s="8">
        <v>16</v>
      </c>
      <c r="E64" s="8">
        <v>2</v>
      </c>
      <c r="F64" s="8">
        <f t="shared" si="2"/>
        <v>43</v>
      </c>
      <c r="G64" s="8">
        <f t="shared" si="3"/>
        <v>44</v>
      </c>
      <c r="H64" s="8"/>
    </row>
    <row r="65" spans="1:8" x14ac:dyDescent="0.25">
      <c r="A65" s="8">
        <v>18</v>
      </c>
      <c r="B65" s="3" t="s">
        <v>32</v>
      </c>
      <c r="C65" s="8">
        <v>4</v>
      </c>
      <c r="D65" s="8">
        <v>1</v>
      </c>
      <c r="E65" s="8">
        <v>2</v>
      </c>
      <c r="F65" s="8">
        <f t="shared" si="2"/>
        <v>45</v>
      </c>
      <c r="G65" s="8">
        <f t="shared" si="3"/>
        <v>46</v>
      </c>
      <c r="H65" s="3"/>
    </row>
    <row r="66" spans="1:8" x14ac:dyDescent="0.25">
      <c r="A66" s="8">
        <v>19</v>
      </c>
      <c r="B66" s="3" t="s">
        <v>33</v>
      </c>
      <c r="C66" s="8">
        <v>4</v>
      </c>
      <c r="D66" s="8">
        <v>4</v>
      </c>
      <c r="E66" s="8">
        <v>1</v>
      </c>
      <c r="F66" s="8">
        <f t="shared" si="2"/>
        <v>47</v>
      </c>
      <c r="G66" s="8">
        <f t="shared" si="3"/>
        <v>47</v>
      </c>
      <c r="H66" s="8"/>
    </row>
    <row r="67" spans="1:8" x14ac:dyDescent="0.25">
      <c r="A67" s="8">
        <v>20</v>
      </c>
      <c r="B67" s="3" t="s">
        <v>173</v>
      </c>
      <c r="C67" s="8">
        <v>4</v>
      </c>
      <c r="D67" s="8">
        <v>5</v>
      </c>
      <c r="E67" s="8">
        <v>1</v>
      </c>
      <c r="F67" s="8">
        <f t="shared" si="2"/>
        <v>48</v>
      </c>
      <c r="G67" s="8">
        <f t="shared" si="3"/>
        <v>48</v>
      </c>
      <c r="H67" s="8"/>
    </row>
    <row r="68" spans="1:8" x14ac:dyDescent="0.25">
      <c r="A68" s="8">
        <v>21</v>
      </c>
      <c r="B68" s="3" t="s">
        <v>34</v>
      </c>
      <c r="C68" s="8">
        <v>4</v>
      </c>
      <c r="D68" s="8">
        <v>6</v>
      </c>
      <c r="E68" s="8">
        <v>3</v>
      </c>
      <c r="F68" s="8">
        <f t="shared" si="2"/>
        <v>49</v>
      </c>
      <c r="G68" s="8">
        <f t="shared" si="3"/>
        <v>51</v>
      </c>
      <c r="H68" s="8"/>
    </row>
    <row r="69" spans="1:8" x14ac:dyDescent="0.25">
      <c r="A69" s="8">
        <v>22</v>
      </c>
      <c r="B69" s="3" t="s">
        <v>35</v>
      </c>
      <c r="C69" s="8">
        <v>4</v>
      </c>
      <c r="D69" s="8">
        <v>7</v>
      </c>
      <c r="E69" s="8">
        <v>1</v>
      </c>
      <c r="F69" s="8">
        <f t="shared" si="2"/>
        <v>52</v>
      </c>
      <c r="G69" s="8">
        <f t="shared" si="3"/>
        <v>52</v>
      </c>
      <c r="H69" s="8"/>
    </row>
    <row r="70" spans="1:8" x14ac:dyDescent="0.25">
      <c r="A70" s="8">
        <v>23</v>
      </c>
      <c r="B70" s="3" t="s">
        <v>36</v>
      </c>
      <c r="C70" s="8">
        <v>4</v>
      </c>
      <c r="D70" s="8">
        <v>8</v>
      </c>
      <c r="E70" s="8">
        <v>2</v>
      </c>
      <c r="F70" s="8">
        <f t="shared" si="2"/>
        <v>53</v>
      </c>
      <c r="G70" s="8">
        <f t="shared" si="3"/>
        <v>54</v>
      </c>
      <c r="H70" s="8"/>
    </row>
    <row r="71" spans="1:8" x14ac:dyDescent="0.25">
      <c r="A71" s="8">
        <v>24</v>
      </c>
      <c r="B71" s="3" t="s">
        <v>37</v>
      </c>
      <c r="C71" s="8">
        <v>4</v>
      </c>
      <c r="D71" s="8">
        <v>9</v>
      </c>
      <c r="E71" s="8">
        <v>2</v>
      </c>
      <c r="F71" s="8">
        <f t="shared" si="2"/>
        <v>55</v>
      </c>
      <c r="G71" s="8">
        <f t="shared" si="3"/>
        <v>56</v>
      </c>
      <c r="H71" s="8"/>
    </row>
    <row r="72" spans="1:8" x14ac:dyDescent="0.25">
      <c r="A72" s="8">
        <v>25</v>
      </c>
      <c r="B72" s="3" t="s">
        <v>61</v>
      </c>
      <c r="C72" s="8">
        <v>6</v>
      </c>
      <c r="D72" s="21" t="s">
        <v>69</v>
      </c>
      <c r="E72" s="8">
        <v>2</v>
      </c>
      <c r="F72" s="8">
        <f t="shared" si="2"/>
        <v>57</v>
      </c>
      <c r="G72" s="8">
        <f t="shared" si="3"/>
        <v>58</v>
      </c>
      <c r="H72" s="8"/>
    </row>
    <row r="73" spans="1:8" x14ac:dyDescent="0.25">
      <c r="A73" s="8">
        <v>26</v>
      </c>
      <c r="B73" s="3" t="s">
        <v>157</v>
      </c>
      <c r="C73" s="8">
        <v>6</v>
      </c>
      <c r="D73" s="21" t="s">
        <v>70</v>
      </c>
      <c r="E73" s="8">
        <v>2</v>
      </c>
      <c r="F73" s="8">
        <f t="shared" si="2"/>
        <v>59</v>
      </c>
      <c r="G73" s="8">
        <f t="shared" si="3"/>
        <v>60</v>
      </c>
      <c r="H73" s="8"/>
    </row>
    <row r="74" spans="1:8" x14ac:dyDescent="0.25">
      <c r="A74" s="8">
        <v>27</v>
      </c>
      <c r="B74" s="3" t="s">
        <v>74</v>
      </c>
      <c r="C74" s="8">
        <v>6</v>
      </c>
      <c r="D74" s="21" t="s">
        <v>63</v>
      </c>
      <c r="E74" s="8">
        <v>2</v>
      </c>
      <c r="F74" s="8">
        <f t="shared" si="2"/>
        <v>61</v>
      </c>
      <c r="G74" s="8">
        <f t="shared" si="3"/>
        <v>62</v>
      </c>
      <c r="H74" s="8"/>
    </row>
    <row r="75" spans="1:8" x14ac:dyDescent="0.25">
      <c r="A75" s="8">
        <v>28</v>
      </c>
      <c r="B75" s="3" t="s">
        <v>73</v>
      </c>
      <c r="C75" s="8">
        <v>6</v>
      </c>
      <c r="D75" s="21" t="s">
        <v>66</v>
      </c>
      <c r="E75" s="8">
        <v>5</v>
      </c>
      <c r="F75" s="8">
        <f t="shared" si="2"/>
        <v>63</v>
      </c>
      <c r="G75" s="8">
        <f t="shared" si="3"/>
        <v>67</v>
      </c>
      <c r="H75" s="8"/>
    </row>
    <row r="76" spans="1:8" x14ac:dyDescent="0.25">
      <c r="A76" s="8">
        <v>29</v>
      </c>
      <c r="B76" s="3" t="s">
        <v>62</v>
      </c>
      <c r="C76" s="8">
        <v>6</v>
      </c>
      <c r="D76" s="21" t="s">
        <v>69</v>
      </c>
      <c r="E76" s="8">
        <v>2</v>
      </c>
      <c r="F76" s="8">
        <f t="shared" si="2"/>
        <v>68</v>
      </c>
      <c r="G76" s="8">
        <f t="shared" si="3"/>
        <v>69</v>
      </c>
      <c r="H76" s="8"/>
    </row>
    <row r="77" spans="1:8" x14ac:dyDescent="0.25">
      <c r="A77" s="8">
        <v>30</v>
      </c>
      <c r="B77" s="3" t="s">
        <v>158</v>
      </c>
      <c r="C77" s="8">
        <v>6</v>
      </c>
      <c r="D77" s="21" t="s">
        <v>70</v>
      </c>
      <c r="E77" s="8">
        <v>2</v>
      </c>
      <c r="F77" s="8">
        <f t="shared" si="2"/>
        <v>70</v>
      </c>
      <c r="G77" s="8">
        <f t="shared" si="3"/>
        <v>71</v>
      </c>
      <c r="H77" s="8"/>
    </row>
    <row r="78" spans="1:8" x14ac:dyDescent="0.25">
      <c r="A78" s="8">
        <v>31</v>
      </c>
      <c r="B78" s="3" t="s">
        <v>87</v>
      </c>
      <c r="C78" s="8">
        <v>6</v>
      </c>
      <c r="D78" s="21" t="s">
        <v>63</v>
      </c>
      <c r="E78" s="8">
        <v>2</v>
      </c>
      <c r="F78" s="8">
        <f t="shared" si="2"/>
        <v>72</v>
      </c>
      <c r="G78" s="8">
        <f t="shared" si="3"/>
        <v>73</v>
      </c>
      <c r="H78" s="8"/>
    </row>
    <row r="79" spans="1:8" x14ac:dyDescent="0.25">
      <c r="A79" s="8">
        <v>32</v>
      </c>
      <c r="B79" s="3" t="s">
        <v>72</v>
      </c>
      <c r="C79" s="8">
        <v>6</v>
      </c>
      <c r="D79" s="21" t="s">
        <v>66</v>
      </c>
      <c r="E79" s="8">
        <v>5</v>
      </c>
      <c r="F79" s="8">
        <f t="shared" si="2"/>
        <v>74</v>
      </c>
      <c r="G79" s="8">
        <f t="shared" si="3"/>
        <v>78</v>
      </c>
      <c r="H79" s="8"/>
    </row>
    <row r="80" spans="1:8" x14ac:dyDescent="0.25">
      <c r="A80" s="8">
        <v>33</v>
      </c>
      <c r="B80" s="3" t="s">
        <v>71</v>
      </c>
      <c r="C80" s="8">
        <v>6</v>
      </c>
      <c r="D80" s="21" t="s">
        <v>76</v>
      </c>
      <c r="E80" s="8">
        <v>2</v>
      </c>
      <c r="F80" s="8">
        <f t="shared" si="2"/>
        <v>79</v>
      </c>
      <c r="G80" s="8">
        <f t="shared" si="3"/>
        <v>80</v>
      </c>
      <c r="H80" s="8"/>
    </row>
    <row r="81" spans="1:8" x14ac:dyDescent="0.25">
      <c r="A81" s="8">
        <v>34</v>
      </c>
      <c r="B81" s="3" t="s">
        <v>75</v>
      </c>
      <c r="C81" s="8">
        <v>6</v>
      </c>
      <c r="D81" s="21" t="s">
        <v>77</v>
      </c>
      <c r="E81" s="8">
        <v>2</v>
      </c>
      <c r="F81" s="8">
        <f t="shared" si="2"/>
        <v>81</v>
      </c>
      <c r="G81" s="8">
        <f t="shared" si="3"/>
        <v>82</v>
      </c>
      <c r="H81" s="8"/>
    </row>
    <row r="82" spans="1:8" x14ac:dyDescent="0.25">
      <c r="A82" s="8">
        <v>35</v>
      </c>
      <c r="B82" s="3" t="s">
        <v>61</v>
      </c>
      <c r="C82" s="8">
        <v>6</v>
      </c>
      <c r="D82" s="21" t="s">
        <v>79</v>
      </c>
      <c r="E82" s="8">
        <v>2</v>
      </c>
      <c r="F82" s="8">
        <f t="shared" si="2"/>
        <v>83</v>
      </c>
      <c r="G82" s="8">
        <f t="shared" si="3"/>
        <v>84</v>
      </c>
      <c r="H82" s="8"/>
    </row>
    <row r="83" spans="1:8" x14ac:dyDescent="0.25">
      <c r="A83" s="8">
        <v>36</v>
      </c>
      <c r="B83" s="3" t="s">
        <v>157</v>
      </c>
      <c r="C83" s="8">
        <v>6</v>
      </c>
      <c r="D83" s="21" t="s">
        <v>80</v>
      </c>
      <c r="E83" s="8">
        <v>2</v>
      </c>
      <c r="F83" s="8">
        <f t="shared" si="2"/>
        <v>85</v>
      </c>
      <c r="G83" s="8">
        <f t="shared" si="3"/>
        <v>86</v>
      </c>
      <c r="H83" s="8"/>
    </row>
    <row r="84" spans="1:8" x14ac:dyDescent="0.25">
      <c r="A84" s="8">
        <v>37</v>
      </c>
      <c r="B84" s="3" t="s">
        <v>82</v>
      </c>
      <c r="C84" s="8">
        <v>6</v>
      </c>
      <c r="D84" s="21" t="s">
        <v>64</v>
      </c>
      <c r="E84" s="8">
        <v>2</v>
      </c>
      <c r="F84" s="8">
        <f t="shared" si="2"/>
        <v>87</v>
      </c>
      <c r="G84" s="8">
        <f t="shared" si="3"/>
        <v>88</v>
      </c>
      <c r="H84" s="8"/>
    </row>
    <row r="85" spans="1:8" x14ac:dyDescent="0.25">
      <c r="A85" s="8">
        <v>38</v>
      </c>
      <c r="B85" s="3" t="s">
        <v>73</v>
      </c>
      <c r="C85" s="8">
        <v>6</v>
      </c>
      <c r="D85" s="21" t="s">
        <v>65</v>
      </c>
      <c r="E85" s="8">
        <v>5</v>
      </c>
      <c r="F85" s="8">
        <f t="shared" si="2"/>
        <v>89</v>
      </c>
      <c r="G85" s="8">
        <f t="shared" si="3"/>
        <v>93</v>
      </c>
      <c r="H85" s="8"/>
    </row>
    <row r="86" spans="1:8" x14ac:dyDescent="0.25">
      <c r="A86" s="8">
        <v>39</v>
      </c>
      <c r="B86" s="3" t="s">
        <v>62</v>
      </c>
      <c r="C86" s="8">
        <v>6</v>
      </c>
      <c r="D86" s="21" t="s">
        <v>79</v>
      </c>
      <c r="E86" s="8">
        <v>2</v>
      </c>
      <c r="F86" s="8">
        <f t="shared" si="2"/>
        <v>94</v>
      </c>
      <c r="G86" s="8">
        <f t="shared" si="3"/>
        <v>95</v>
      </c>
      <c r="H86" s="8"/>
    </row>
    <row r="87" spans="1:8" x14ac:dyDescent="0.25">
      <c r="A87" s="8">
        <v>40</v>
      </c>
      <c r="B87" s="3" t="s">
        <v>158</v>
      </c>
      <c r="C87" s="8">
        <v>6</v>
      </c>
      <c r="D87" s="21" t="s">
        <v>80</v>
      </c>
      <c r="E87" s="8">
        <v>2</v>
      </c>
      <c r="F87" s="8">
        <f t="shared" si="2"/>
        <v>96</v>
      </c>
      <c r="G87" s="8">
        <f t="shared" si="3"/>
        <v>97</v>
      </c>
      <c r="H87" s="8"/>
    </row>
    <row r="88" spans="1:8" x14ac:dyDescent="0.25">
      <c r="A88" s="8">
        <v>41</v>
      </c>
      <c r="B88" s="3" t="s">
        <v>83</v>
      </c>
      <c r="C88" s="8">
        <v>6</v>
      </c>
      <c r="D88" s="21" t="s">
        <v>64</v>
      </c>
      <c r="E88" s="8">
        <v>2</v>
      </c>
      <c r="F88" s="8">
        <f t="shared" si="2"/>
        <v>98</v>
      </c>
      <c r="G88" s="8">
        <f t="shared" si="3"/>
        <v>99</v>
      </c>
      <c r="H88" s="8"/>
    </row>
    <row r="89" spans="1:8" x14ac:dyDescent="0.25">
      <c r="A89" s="8">
        <v>42</v>
      </c>
      <c r="B89" s="3" t="s">
        <v>84</v>
      </c>
      <c r="C89" s="8">
        <v>6</v>
      </c>
      <c r="D89" s="21" t="s">
        <v>65</v>
      </c>
      <c r="E89" s="8">
        <v>5</v>
      </c>
      <c r="F89" s="8">
        <f t="shared" si="2"/>
        <v>100</v>
      </c>
      <c r="G89" s="8">
        <f t="shared" si="3"/>
        <v>104</v>
      </c>
      <c r="H89" s="8"/>
    </row>
    <row r="90" spans="1:8" x14ac:dyDescent="0.25">
      <c r="A90" s="8">
        <v>43</v>
      </c>
      <c r="B90" s="3" t="s">
        <v>85</v>
      </c>
      <c r="C90" s="8">
        <v>6</v>
      </c>
      <c r="D90" s="21" t="s">
        <v>81</v>
      </c>
      <c r="E90" s="8">
        <v>2</v>
      </c>
      <c r="F90" s="8">
        <f t="shared" si="2"/>
        <v>105</v>
      </c>
      <c r="G90" s="8">
        <f t="shared" si="3"/>
        <v>106</v>
      </c>
      <c r="H90" s="8"/>
    </row>
    <row r="91" spans="1:8" x14ac:dyDescent="0.25">
      <c r="A91" s="8">
        <v>44</v>
      </c>
      <c r="B91" s="3" t="s">
        <v>86</v>
      </c>
      <c r="C91" s="8">
        <v>6</v>
      </c>
      <c r="D91" s="21" t="s">
        <v>78</v>
      </c>
      <c r="E91" s="8">
        <v>2</v>
      </c>
      <c r="F91" s="8">
        <f t="shared" si="2"/>
        <v>107</v>
      </c>
      <c r="G91" s="8">
        <f t="shared" si="3"/>
        <v>108</v>
      </c>
      <c r="H91" s="8"/>
    </row>
    <row r="92" spans="1:8" x14ac:dyDescent="0.25">
      <c r="A92" s="8">
        <v>45</v>
      </c>
      <c r="B92" s="3" t="s">
        <v>61</v>
      </c>
      <c r="C92" s="8">
        <v>6</v>
      </c>
      <c r="D92" s="21" t="s">
        <v>88</v>
      </c>
      <c r="E92" s="8">
        <v>2</v>
      </c>
      <c r="F92" s="8">
        <f t="shared" si="2"/>
        <v>109</v>
      </c>
      <c r="G92" s="8">
        <f t="shared" si="3"/>
        <v>110</v>
      </c>
      <c r="H92" s="8"/>
    </row>
    <row r="93" spans="1:8" x14ac:dyDescent="0.25">
      <c r="A93" s="8">
        <v>46</v>
      </c>
      <c r="B93" s="3" t="s">
        <v>157</v>
      </c>
      <c r="C93" s="8">
        <v>6</v>
      </c>
      <c r="D93" s="21" t="s">
        <v>89</v>
      </c>
      <c r="E93" s="8">
        <v>2</v>
      </c>
      <c r="F93" s="8">
        <f t="shared" si="2"/>
        <v>111</v>
      </c>
      <c r="G93" s="8">
        <f t="shared" si="3"/>
        <v>112</v>
      </c>
      <c r="H93" s="8"/>
    </row>
    <row r="94" spans="1:8" x14ac:dyDescent="0.25">
      <c r="A94" s="8">
        <v>47</v>
      </c>
      <c r="B94" s="3" t="s">
        <v>94</v>
      </c>
      <c r="C94" s="8">
        <v>6</v>
      </c>
      <c r="D94" s="21" t="s">
        <v>90</v>
      </c>
      <c r="E94" s="8">
        <v>2</v>
      </c>
      <c r="F94" s="8">
        <f t="shared" si="2"/>
        <v>113</v>
      </c>
      <c r="G94" s="8">
        <f t="shared" si="3"/>
        <v>114</v>
      </c>
      <c r="H94" s="8"/>
    </row>
    <row r="95" spans="1:8" x14ac:dyDescent="0.25">
      <c r="A95" s="8">
        <v>48</v>
      </c>
      <c r="B95" s="3" t="s">
        <v>95</v>
      </c>
      <c r="C95" s="8">
        <v>6</v>
      </c>
      <c r="D95" s="21" t="s">
        <v>91</v>
      </c>
      <c r="E95" s="8">
        <v>5</v>
      </c>
      <c r="F95" s="8">
        <f t="shared" si="2"/>
        <v>115</v>
      </c>
      <c r="G95" s="8">
        <f t="shared" si="3"/>
        <v>119</v>
      </c>
      <c r="H95" s="8"/>
    </row>
    <row r="96" spans="1:8" x14ac:dyDescent="0.25">
      <c r="A96" s="8">
        <v>49</v>
      </c>
      <c r="B96" s="3" t="s">
        <v>62</v>
      </c>
      <c r="C96" s="8">
        <v>6</v>
      </c>
      <c r="D96" s="21" t="s">
        <v>88</v>
      </c>
      <c r="E96" s="8">
        <v>2</v>
      </c>
      <c r="F96" s="8">
        <f t="shared" si="2"/>
        <v>120</v>
      </c>
      <c r="G96" s="8">
        <f t="shared" si="3"/>
        <v>121</v>
      </c>
      <c r="H96" s="8"/>
    </row>
    <row r="97" spans="1:8" x14ac:dyDescent="0.25">
      <c r="A97" s="8">
        <v>50</v>
      </c>
      <c r="B97" s="3" t="s">
        <v>158</v>
      </c>
      <c r="C97" s="8">
        <v>6</v>
      </c>
      <c r="D97" s="21" t="s">
        <v>89</v>
      </c>
      <c r="E97" s="8">
        <v>2</v>
      </c>
      <c r="F97" s="8">
        <f t="shared" si="2"/>
        <v>122</v>
      </c>
      <c r="G97" s="8">
        <f t="shared" si="3"/>
        <v>123</v>
      </c>
      <c r="H97" s="8"/>
    </row>
    <row r="98" spans="1:8" x14ac:dyDescent="0.25">
      <c r="A98" s="8">
        <v>51</v>
      </c>
      <c r="B98" s="3" t="s">
        <v>96</v>
      </c>
      <c r="C98" s="8">
        <v>6</v>
      </c>
      <c r="D98" s="21" t="s">
        <v>90</v>
      </c>
      <c r="E98" s="8">
        <v>2</v>
      </c>
      <c r="F98" s="8">
        <f t="shared" si="2"/>
        <v>124</v>
      </c>
      <c r="G98" s="8">
        <f t="shared" si="3"/>
        <v>125</v>
      </c>
      <c r="H98" s="8"/>
    </row>
    <row r="99" spans="1:8" x14ac:dyDescent="0.25">
      <c r="A99" s="8">
        <v>52</v>
      </c>
      <c r="B99" s="3" t="s">
        <v>97</v>
      </c>
      <c r="C99" s="8">
        <v>6</v>
      </c>
      <c r="D99" s="21" t="s">
        <v>91</v>
      </c>
      <c r="E99" s="8">
        <v>5</v>
      </c>
      <c r="F99" s="8">
        <f t="shared" si="2"/>
        <v>126</v>
      </c>
      <c r="G99" s="8">
        <f t="shared" si="3"/>
        <v>130</v>
      </c>
      <c r="H99" s="8"/>
    </row>
    <row r="100" spans="1:8" x14ac:dyDescent="0.25">
      <c r="A100" s="8">
        <v>53</v>
      </c>
      <c r="B100" s="3" t="s">
        <v>98</v>
      </c>
      <c r="C100" s="8">
        <v>6</v>
      </c>
      <c r="D100" s="21" t="s">
        <v>92</v>
      </c>
      <c r="E100" s="8">
        <v>2</v>
      </c>
      <c r="F100" s="8">
        <f t="shared" si="2"/>
        <v>131</v>
      </c>
      <c r="G100" s="8">
        <f t="shared" si="3"/>
        <v>132</v>
      </c>
      <c r="H100" s="8"/>
    </row>
    <row r="101" spans="1:8" x14ac:dyDescent="0.25">
      <c r="A101" s="8">
        <v>54</v>
      </c>
      <c r="B101" s="3" t="s">
        <v>99</v>
      </c>
      <c r="C101" s="8">
        <v>6</v>
      </c>
      <c r="D101" s="21" t="s">
        <v>93</v>
      </c>
      <c r="E101" s="8">
        <v>2</v>
      </c>
      <c r="F101" s="8">
        <f t="shared" si="2"/>
        <v>133</v>
      </c>
      <c r="G101" s="8">
        <f t="shared" si="3"/>
        <v>134</v>
      </c>
      <c r="H101" s="8"/>
    </row>
    <row r="102" spans="1:8" x14ac:dyDescent="0.25">
      <c r="A102" s="8">
        <v>55</v>
      </c>
      <c r="B102" s="3" t="s">
        <v>61</v>
      </c>
      <c r="C102" s="8">
        <v>6</v>
      </c>
      <c r="D102" s="21" t="s">
        <v>100</v>
      </c>
      <c r="E102" s="8">
        <v>2</v>
      </c>
      <c r="F102" s="8">
        <f t="shared" si="2"/>
        <v>135</v>
      </c>
      <c r="G102" s="8">
        <f t="shared" si="3"/>
        <v>136</v>
      </c>
      <c r="H102" s="8"/>
    </row>
    <row r="103" spans="1:8" x14ac:dyDescent="0.25">
      <c r="A103" s="8">
        <v>56</v>
      </c>
      <c r="B103" s="3" t="s">
        <v>157</v>
      </c>
      <c r="C103" s="8">
        <v>6</v>
      </c>
      <c r="D103" s="21" t="s">
        <v>101</v>
      </c>
      <c r="E103" s="8">
        <v>2</v>
      </c>
      <c r="F103" s="8">
        <f t="shared" si="2"/>
        <v>137</v>
      </c>
      <c r="G103" s="8">
        <f t="shared" si="3"/>
        <v>138</v>
      </c>
      <c r="H103" s="8"/>
    </row>
    <row r="104" spans="1:8" x14ac:dyDescent="0.25">
      <c r="A104" s="8">
        <v>57</v>
      </c>
      <c r="B104" s="3" t="s">
        <v>106</v>
      </c>
      <c r="C104" s="8">
        <v>6</v>
      </c>
      <c r="D104" s="21" t="s">
        <v>102</v>
      </c>
      <c r="E104" s="8">
        <v>2</v>
      </c>
      <c r="F104" s="8">
        <f t="shared" si="2"/>
        <v>139</v>
      </c>
      <c r="G104" s="8">
        <f t="shared" si="3"/>
        <v>140</v>
      </c>
      <c r="H104" s="8"/>
    </row>
    <row r="105" spans="1:8" x14ac:dyDescent="0.25">
      <c r="A105" s="8">
        <v>58</v>
      </c>
      <c r="B105" s="3" t="s">
        <v>108</v>
      </c>
      <c r="C105" s="8">
        <v>6</v>
      </c>
      <c r="D105" s="21" t="s">
        <v>103</v>
      </c>
      <c r="E105" s="8">
        <v>5</v>
      </c>
      <c r="F105" s="8">
        <f t="shared" si="2"/>
        <v>141</v>
      </c>
      <c r="G105" s="8">
        <f t="shared" si="3"/>
        <v>145</v>
      </c>
      <c r="H105" s="8"/>
    </row>
    <row r="106" spans="1:8" x14ac:dyDescent="0.25">
      <c r="A106" s="8">
        <v>59</v>
      </c>
      <c r="B106" s="3" t="s">
        <v>62</v>
      </c>
      <c r="C106" s="8">
        <v>6</v>
      </c>
      <c r="D106" s="21" t="s">
        <v>100</v>
      </c>
      <c r="E106" s="8">
        <v>2</v>
      </c>
      <c r="F106" s="8">
        <f t="shared" si="2"/>
        <v>146</v>
      </c>
      <c r="G106" s="8">
        <f t="shared" si="3"/>
        <v>147</v>
      </c>
      <c r="H106" s="8"/>
    </row>
    <row r="107" spans="1:8" x14ac:dyDescent="0.25">
      <c r="A107" s="8">
        <v>60</v>
      </c>
      <c r="B107" s="3" t="s">
        <v>158</v>
      </c>
      <c r="C107" s="8">
        <v>6</v>
      </c>
      <c r="D107" s="21" t="s">
        <v>101</v>
      </c>
      <c r="E107" s="8">
        <v>2</v>
      </c>
      <c r="F107" s="8">
        <f t="shared" si="2"/>
        <v>148</v>
      </c>
      <c r="G107" s="8">
        <f t="shared" si="3"/>
        <v>149</v>
      </c>
      <c r="H107" s="8"/>
    </row>
    <row r="108" spans="1:8" x14ac:dyDescent="0.25">
      <c r="A108" s="8">
        <v>61</v>
      </c>
      <c r="B108" s="3" t="s">
        <v>107</v>
      </c>
      <c r="C108" s="8">
        <v>6</v>
      </c>
      <c r="D108" s="21" t="s">
        <v>102</v>
      </c>
      <c r="E108" s="8">
        <v>2</v>
      </c>
      <c r="F108" s="8">
        <f t="shared" si="2"/>
        <v>150</v>
      </c>
      <c r="G108" s="8">
        <f t="shared" si="3"/>
        <v>151</v>
      </c>
      <c r="H108" s="8"/>
    </row>
    <row r="109" spans="1:8" x14ac:dyDescent="0.25">
      <c r="A109" s="8">
        <v>62</v>
      </c>
      <c r="B109" s="3" t="s">
        <v>109</v>
      </c>
      <c r="C109" s="8">
        <v>6</v>
      </c>
      <c r="D109" s="21" t="s">
        <v>103</v>
      </c>
      <c r="E109" s="8">
        <v>5</v>
      </c>
      <c r="F109" s="8">
        <f t="shared" si="2"/>
        <v>152</v>
      </c>
      <c r="G109" s="8">
        <f t="shared" si="3"/>
        <v>156</v>
      </c>
      <c r="H109" s="8"/>
    </row>
    <row r="110" spans="1:8" x14ac:dyDescent="0.25">
      <c r="A110" s="8">
        <v>63</v>
      </c>
      <c r="B110" s="3" t="s">
        <v>110</v>
      </c>
      <c r="C110" s="8">
        <v>6</v>
      </c>
      <c r="D110" s="21" t="s">
        <v>104</v>
      </c>
      <c r="E110" s="8">
        <v>2</v>
      </c>
      <c r="F110" s="8">
        <f t="shared" si="2"/>
        <v>157</v>
      </c>
      <c r="G110" s="8">
        <f t="shared" si="3"/>
        <v>158</v>
      </c>
      <c r="H110" s="8"/>
    </row>
    <row r="111" spans="1:8" x14ac:dyDescent="0.25">
      <c r="A111" s="8">
        <v>64</v>
      </c>
      <c r="B111" s="3" t="s">
        <v>111</v>
      </c>
      <c r="C111" s="8">
        <v>6</v>
      </c>
      <c r="D111" s="21" t="s">
        <v>105</v>
      </c>
      <c r="E111" s="8">
        <v>2</v>
      </c>
      <c r="F111" s="8">
        <f t="shared" si="2"/>
        <v>159</v>
      </c>
      <c r="G111" s="8">
        <f t="shared" si="3"/>
        <v>160</v>
      </c>
      <c r="H111" s="8"/>
    </row>
    <row r="112" spans="1:8" x14ac:dyDescent="0.25">
      <c r="A112" s="8">
        <v>65</v>
      </c>
      <c r="B112" s="3" t="s">
        <v>61</v>
      </c>
      <c r="C112" s="8">
        <v>6</v>
      </c>
      <c r="D112" s="21" t="s">
        <v>112</v>
      </c>
      <c r="E112" s="8">
        <v>2</v>
      </c>
      <c r="F112" s="8">
        <f t="shared" si="2"/>
        <v>161</v>
      </c>
      <c r="G112" s="8">
        <f t="shared" si="3"/>
        <v>162</v>
      </c>
      <c r="H112" s="8"/>
    </row>
    <row r="113" spans="1:8" x14ac:dyDescent="0.25">
      <c r="A113" s="8">
        <v>66</v>
      </c>
      <c r="B113" s="3" t="s">
        <v>157</v>
      </c>
      <c r="C113" s="8">
        <v>6</v>
      </c>
      <c r="D113" s="21" t="s">
        <v>113</v>
      </c>
      <c r="E113" s="8">
        <v>2</v>
      </c>
      <c r="F113" s="8">
        <f t="shared" ref="F113:F155" si="4">G112+1</f>
        <v>163</v>
      </c>
      <c r="G113" s="8">
        <f t="shared" ref="G113:G155" si="5">G112+E113</f>
        <v>164</v>
      </c>
      <c r="H113" s="8"/>
    </row>
    <row r="114" spans="1:8" x14ac:dyDescent="0.25">
      <c r="A114" s="8">
        <v>67</v>
      </c>
      <c r="B114" s="3" t="s">
        <v>118</v>
      </c>
      <c r="C114" s="8">
        <v>6</v>
      </c>
      <c r="D114" s="21" t="s">
        <v>114</v>
      </c>
      <c r="E114" s="8">
        <v>2</v>
      </c>
      <c r="F114" s="8">
        <f t="shared" si="4"/>
        <v>165</v>
      </c>
      <c r="G114" s="8">
        <f t="shared" si="5"/>
        <v>166</v>
      </c>
      <c r="H114" s="8"/>
    </row>
    <row r="115" spans="1:8" x14ac:dyDescent="0.25">
      <c r="A115" s="8">
        <v>68</v>
      </c>
      <c r="B115" s="3" t="s">
        <v>119</v>
      </c>
      <c r="C115" s="8">
        <v>6</v>
      </c>
      <c r="D115" s="21" t="s">
        <v>115</v>
      </c>
      <c r="E115" s="8">
        <v>5</v>
      </c>
      <c r="F115" s="8">
        <f t="shared" si="4"/>
        <v>167</v>
      </c>
      <c r="G115" s="8">
        <f t="shared" si="5"/>
        <v>171</v>
      </c>
      <c r="H115" s="8"/>
    </row>
    <row r="116" spans="1:8" x14ac:dyDescent="0.25">
      <c r="A116" s="8">
        <v>69</v>
      </c>
      <c r="B116" s="3" t="s">
        <v>62</v>
      </c>
      <c r="C116" s="8">
        <v>6</v>
      </c>
      <c r="D116" s="21" t="s">
        <v>112</v>
      </c>
      <c r="E116" s="8">
        <v>2</v>
      </c>
      <c r="F116" s="8">
        <f t="shared" si="4"/>
        <v>172</v>
      </c>
      <c r="G116" s="8">
        <f t="shared" si="5"/>
        <v>173</v>
      </c>
      <c r="H116" s="8"/>
    </row>
    <row r="117" spans="1:8" x14ac:dyDescent="0.25">
      <c r="A117" s="8">
        <v>70</v>
      </c>
      <c r="B117" s="3" t="s">
        <v>158</v>
      </c>
      <c r="C117" s="8">
        <v>6</v>
      </c>
      <c r="D117" s="21" t="s">
        <v>113</v>
      </c>
      <c r="E117" s="8">
        <v>2</v>
      </c>
      <c r="F117" s="8">
        <f t="shared" si="4"/>
        <v>174</v>
      </c>
      <c r="G117" s="8">
        <f t="shared" si="5"/>
        <v>175</v>
      </c>
      <c r="H117" s="8"/>
    </row>
    <row r="118" spans="1:8" x14ac:dyDescent="0.25">
      <c r="A118" s="8">
        <v>71</v>
      </c>
      <c r="B118" s="3" t="s">
        <v>120</v>
      </c>
      <c r="C118" s="8">
        <v>6</v>
      </c>
      <c r="D118" s="21" t="s">
        <v>114</v>
      </c>
      <c r="E118" s="8">
        <v>2</v>
      </c>
      <c r="F118" s="8">
        <f t="shared" si="4"/>
        <v>176</v>
      </c>
      <c r="G118" s="8">
        <f t="shared" si="5"/>
        <v>177</v>
      </c>
      <c r="H118" s="8"/>
    </row>
    <row r="119" spans="1:8" x14ac:dyDescent="0.25">
      <c r="A119" s="8">
        <v>72</v>
      </c>
      <c r="B119" s="3" t="s">
        <v>121</v>
      </c>
      <c r="C119" s="8">
        <v>6</v>
      </c>
      <c r="D119" s="21" t="s">
        <v>115</v>
      </c>
      <c r="E119" s="8">
        <v>5</v>
      </c>
      <c r="F119" s="8">
        <f t="shared" si="4"/>
        <v>178</v>
      </c>
      <c r="G119" s="8">
        <f t="shared" si="5"/>
        <v>182</v>
      </c>
      <c r="H119" s="8"/>
    </row>
    <row r="120" spans="1:8" x14ac:dyDescent="0.25">
      <c r="A120" s="8">
        <v>73</v>
      </c>
      <c r="B120" s="3" t="s">
        <v>122</v>
      </c>
      <c r="C120" s="8">
        <v>6</v>
      </c>
      <c r="D120" s="21" t="s">
        <v>116</v>
      </c>
      <c r="E120" s="8">
        <v>2</v>
      </c>
      <c r="F120" s="8">
        <f t="shared" si="4"/>
        <v>183</v>
      </c>
      <c r="G120" s="8">
        <f t="shared" si="5"/>
        <v>184</v>
      </c>
      <c r="H120" s="8"/>
    </row>
    <row r="121" spans="1:8" x14ac:dyDescent="0.25">
      <c r="A121" s="8">
        <v>74</v>
      </c>
      <c r="B121" s="3" t="s">
        <v>123</v>
      </c>
      <c r="C121" s="8">
        <v>6</v>
      </c>
      <c r="D121" s="21" t="s">
        <v>117</v>
      </c>
      <c r="E121" s="8">
        <v>2</v>
      </c>
      <c r="F121" s="8">
        <f t="shared" si="4"/>
        <v>185</v>
      </c>
      <c r="G121" s="8">
        <f t="shared" si="5"/>
        <v>186</v>
      </c>
      <c r="H121" s="8"/>
    </row>
    <row r="122" spans="1:8" x14ac:dyDescent="0.25">
      <c r="A122" s="8">
        <v>75</v>
      </c>
      <c r="B122" s="3" t="s">
        <v>61</v>
      </c>
      <c r="C122" s="8">
        <v>6</v>
      </c>
      <c r="D122" s="21" t="s">
        <v>130</v>
      </c>
      <c r="E122" s="8">
        <v>2</v>
      </c>
      <c r="F122" s="8">
        <f t="shared" si="4"/>
        <v>187</v>
      </c>
      <c r="G122" s="8">
        <f t="shared" si="5"/>
        <v>188</v>
      </c>
      <c r="H122" s="8"/>
    </row>
    <row r="123" spans="1:8" x14ac:dyDescent="0.25">
      <c r="A123" s="8">
        <v>76</v>
      </c>
      <c r="B123" s="3" t="s">
        <v>157</v>
      </c>
      <c r="C123" s="8">
        <v>6</v>
      </c>
      <c r="D123" s="21" t="s">
        <v>131</v>
      </c>
      <c r="E123" s="8">
        <v>2</v>
      </c>
      <c r="F123" s="8">
        <f t="shared" si="4"/>
        <v>189</v>
      </c>
      <c r="G123" s="8">
        <f t="shared" si="5"/>
        <v>190</v>
      </c>
      <c r="H123" s="8"/>
    </row>
    <row r="124" spans="1:8" x14ac:dyDescent="0.25">
      <c r="A124" s="8">
        <v>77</v>
      </c>
      <c r="B124" s="3" t="s">
        <v>124</v>
      </c>
      <c r="C124" s="8">
        <v>6</v>
      </c>
      <c r="D124" s="21" t="s">
        <v>132</v>
      </c>
      <c r="E124" s="8">
        <v>2</v>
      </c>
      <c r="F124" s="8">
        <f t="shared" si="4"/>
        <v>191</v>
      </c>
      <c r="G124" s="8">
        <f t="shared" si="5"/>
        <v>192</v>
      </c>
      <c r="H124" s="8"/>
    </row>
    <row r="125" spans="1:8" x14ac:dyDescent="0.25">
      <c r="A125" s="8">
        <v>78</v>
      </c>
      <c r="B125" s="3" t="s">
        <v>125</v>
      </c>
      <c r="C125" s="8">
        <v>6</v>
      </c>
      <c r="D125" s="21" t="s">
        <v>68</v>
      </c>
      <c r="E125" s="8">
        <v>5</v>
      </c>
      <c r="F125" s="8">
        <f t="shared" si="4"/>
        <v>193</v>
      </c>
      <c r="G125" s="8">
        <f t="shared" si="5"/>
        <v>197</v>
      </c>
      <c r="H125" s="8"/>
    </row>
    <row r="126" spans="1:8" x14ac:dyDescent="0.25">
      <c r="A126" s="8">
        <v>79</v>
      </c>
      <c r="B126" s="3" t="s">
        <v>62</v>
      </c>
      <c r="C126" s="8">
        <v>6</v>
      </c>
      <c r="D126" s="21" t="s">
        <v>130</v>
      </c>
      <c r="E126" s="8">
        <v>2</v>
      </c>
      <c r="F126" s="8">
        <f t="shared" si="4"/>
        <v>198</v>
      </c>
      <c r="G126" s="8">
        <f t="shared" si="5"/>
        <v>199</v>
      </c>
      <c r="H126" s="8"/>
    </row>
    <row r="127" spans="1:8" s="4" customFormat="1" x14ac:dyDescent="0.25">
      <c r="A127" s="8">
        <v>80</v>
      </c>
      <c r="B127" s="3" t="s">
        <v>158</v>
      </c>
      <c r="C127" s="8">
        <v>6</v>
      </c>
      <c r="D127" s="21" t="s">
        <v>131</v>
      </c>
      <c r="E127" s="8">
        <v>2</v>
      </c>
      <c r="F127" s="8">
        <f t="shared" si="4"/>
        <v>200</v>
      </c>
      <c r="G127" s="8">
        <f t="shared" si="5"/>
        <v>201</v>
      </c>
      <c r="H127" s="8"/>
    </row>
    <row r="128" spans="1:8" x14ac:dyDescent="0.25">
      <c r="A128" s="8">
        <v>81</v>
      </c>
      <c r="B128" s="3" t="s">
        <v>126</v>
      </c>
      <c r="C128" s="8">
        <v>6</v>
      </c>
      <c r="D128" s="21" t="s">
        <v>132</v>
      </c>
      <c r="E128" s="8">
        <v>2</v>
      </c>
      <c r="F128" s="8">
        <f t="shared" si="4"/>
        <v>202</v>
      </c>
      <c r="G128" s="8">
        <f t="shared" si="5"/>
        <v>203</v>
      </c>
      <c r="H128" s="8"/>
    </row>
    <row r="129" spans="1:8" x14ac:dyDescent="0.25">
      <c r="A129" s="8">
        <v>82</v>
      </c>
      <c r="B129" s="3" t="s">
        <v>127</v>
      </c>
      <c r="C129" s="8">
        <v>6</v>
      </c>
      <c r="D129" s="21" t="s">
        <v>68</v>
      </c>
      <c r="E129" s="8">
        <v>5</v>
      </c>
      <c r="F129" s="8">
        <f t="shared" si="4"/>
        <v>204</v>
      </c>
      <c r="G129" s="8">
        <f t="shared" si="5"/>
        <v>208</v>
      </c>
      <c r="H129" s="8"/>
    </row>
    <row r="130" spans="1:8" x14ac:dyDescent="0.25">
      <c r="A130" s="8">
        <v>83</v>
      </c>
      <c r="B130" s="3" t="s">
        <v>128</v>
      </c>
      <c r="C130" s="8">
        <v>6</v>
      </c>
      <c r="D130" s="21" t="s">
        <v>133</v>
      </c>
      <c r="E130" s="8">
        <v>2</v>
      </c>
      <c r="F130" s="8">
        <f t="shared" si="4"/>
        <v>209</v>
      </c>
      <c r="G130" s="8">
        <f t="shared" si="5"/>
        <v>210</v>
      </c>
      <c r="H130" s="8"/>
    </row>
    <row r="131" spans="1:8" x14ac:dyDescent="0.25">
      <c r="A131" s="8">
        <v>84</v>
      </c>
      <c r="B131" s="3" t="s">
        <v>129</v>
      </c>
      <c r="C131" s="8">
        <v>6</v>
      </c>
      <c r="D131" s="21" t="s">
        <v>134</v>
      </c>
      <c r="E131" s="8">
        <v>2</v>
      </c>
      <c r="F131" s="8">
        <f t="shared" si="4"/>
        <v>211</v>
      </c>
      <c r="G131" s="8">
        <f t="shared" si="5"/>
        <v>212</v>
      </c>
      <c r="H131" s="8"/>
    </row>
    <row r="132" spans="1:8" x14ac:dyDescent="0.25">
      <c r="A132" s="8">
        <v>85</v>
      </c>
      <c r="B132" s="3" t="s">
        <v>61</v>
      </c>
      <c r="C132" s="8">
        <v>6</v>
      </c>
      <c r="D132" s="21" t="s">
        <v>135</v>
      </c>
      <c r="E132" s="8">
        <v>2</v>
      </c>
      <c r="F132" s="8">
        <f t="shared" si="4"/>
        <v>213</v>
      </c>
      <c r="G132" s="8">
        <f t="shared" si="5"/>
        <v>214</v>
      </c>
      <c r="H132" s="8"/>
    </row>
    <row r="133" spans="1:8" x14ac:dyDescent="0.25">
      <c r="A133" s="8">
        <v>86</v>
      </c>
      <c r="B133" s="3" t="s">
        <v>157</v>
      </c>
      <c r="C133" s="8">
        <v>6</v>
      </c>
      <c r="D133" s="21" t="s">
        <v>136</v>
      </c>
      <c r="E133" s="8">
        <v>2</v>
      </c>
      <c r="F133" s="8">
        <f t="shared" si="4"/>
        <v>215</v>
      </c>
      <c r="G133" s="8">
        <f t="shared" si="5"/>
        <v>216</v>
      </c>
      <c r="H133" s="8"/>
    </row>
    <row r="134" spans="1:8" x14ac:dyDescent="0.25">
      <c r="A134" s="8">
        <v>87</v>
      </c>
      <c r="B134" s="3" t="s">
        <v>140</v>
      </c>
      <c r="C134" s="8">
        <v>6</v>
      </c>
      <c r="D134" s="21" t="s">
        <v>137</v>
      </c>
      <c r="E134" s="8">
        <v>2</v>
      </c>
      <c r="F134" s="8">
        <f t="shared" si="4"/>
        <v>217</v>
      </c>
      <c r="G134" s="8">
        <f t="shared" si="5"/>
        <v>218</v>
      </c>
      <c r="H134" s="8"/>
    </row>
    <row r="135" spans="1:8" x14ac:dyDescent="0.25">
      <c r="A135" s="8">
        <v>88</v>
      </c>
      <c r="B135" s="3" t="s">
        <v>141</v>
      </c>
      <c r="C135" s="8">
        <v>6</v>
      </c>
      <c r="D135" s="21" t="s">
        <v>67</v>
      </c>
      <c r="E135" s="8">
        <v>5</v>
      </c>
      <c r="F135" s="8">
        <f t="shared" si="4"/>
        <v>219</v>
      </c>
      <c r="G135" s="8">
        <f t="shared" si="5"/>
        <v>223</v>
      </c>
      <c r="H135" s="8"/>
    </row>
    <row r="136" spans="1:8" x14ac:dyDescent="0.25">
      <c r="A136" s="8">
        <v>89</v>
      </c>
      <c r="B136" s="3" t="s">
        <v>62</v>
      </c>
      <c r="C136" s="8">
        <v>6</v>
      </c>
      <c r="D136" s="21" t="s">
        <v>135</v>
      </c>
      <c r="E136" s="8">
        <v>2</v>
      </c>
      <c r="F136" s="8">
        <f t="shared" si="4"/>
        <v>224</v>
      </c>
      <c r="G136" s="8">
        <f t="shared" si="5"/>
        <v>225</v>
      </c>
      <c r="H136" s="8"/>
    </row>
    <row r="137" spans="1:8" x14ac:dyDescent="0.25">
      <c r="A137" s="8">
        <v>90</v>
      </c>
      <c r="B137" s="3" t="s">
        <v>158</v>
      </c>
      <c r="C137" s="8">
        <v>6</v>
      </c>
      <c r="D137" s="21" t="s">
        <v>136</v>
      </c>
      <c r="E137" s="8">
        <v>2</v>
      </c>
      <c r="F137" s="8">
        <f t="shared" si="4"/>
        <v>226</v>
      </c>
      <c r="G137" s="8">
        <f t="shared" si="5"/>
        <v>227</v>
      </c>
      <c r="H137" s="8"/>
    </row>
    <row r="138" spans="1:8" x14ac:dyDescent="0.25">
      <c r="A138" s="8">
        <v>91</v>
      </c>
      <c r="B138" s="3" t="s">
        <v>142</v>
      </c>
      <c r="C138" s="8">
        <v>6</v>
      </c>
      <c r="D138" s="21" t="s">
        <v>137</v>
      </c>
      <c r="E138" s="8">
        <v>2</v>
      </c>
      <c r="F138" s="8">
        <f t="shared" si="4"/>
        <v>228</v>
      </c>
      <c r="G138" s="8">
        <f t="shared" si="5"/>
        <v>229</v>
      </c>
      <c r="H138" s="8"/>
    </row>
    <row r="139" spans="1:8" x14ac:dyDescent="0.25">
      <c r="A139" s="8">
        <v>92</v>
      </c>
      <c r="B139" s="3" t="s">
        <v>143</v>
      </c>
      <c r="C139" s="8">
        <v>6</v>
      </c>
      <c r="D139" s="21" t="s">
        <v>67</v>
      </c>
      <c r="E139" s="8">
        <v>5</v>
      </c>
      <c r="F139" s="8">
        <f t="shared" si="4"/>
        <v>230</v>
      </c>
      <c r="G139" s="8">
        <f t="shared" si="5"/>
        <v>234</v>
      </c>
      <c r="H139" s="8"/>
    </row>
    <row r="140" spans="1:8" x14ac:dyDescent="0.25">
      <c r="A140" s="8">
        <v>93</v>
      </c>
      <c r="B140" s="3" t="s">
        <v>144</v>
      </c>
      <c r="C140" s="8">
        <v>6</v>
      </c>
      <c r="D140" s="21" t="s">
        <v>138</v>
      </c>
      <c r="E140" s="8">
        <v>2</v>
      </c>
      <c r="F140" s="8">
        <f t="shared" si="4"/>
        <v>235</v>
      </c>
      <c r="G140" s="8">
        <f t="shared" si="5"/>
        <v>236</v>
      </c>
      <c r="H140" s="8"/>
    </row>
    <row r="141" spans="1:8" x14ac:dyDescent="0.25">
      <c r="A141" s="8">
        <v>94</v>
      </c>
      <c r="B141" s="3" t="s">
        <v>145</v>
      </c>
      <c r="C141" s="8">
        <v>6</v>
      </c>
      <c r="D141" s="21" t="s">
        <v>139</v>
      </c>
      <c r="E141" s="8">
        <v>2</v>
      </c>
      <c r="F141" s="8">
        <f t="shared" si="4"/>
        <v>237</v>
      </c>
      <c r="G141" s="8">
        <f t="shared" si="5"/>
        <v>238</v>
      </c>
      <c r="H141" s="8"/>
    </row>
    <row r="142" spans="1:8" x14ac:dyDescent="0.25">
      <c r="A142" s="8">
        <v>95</v>
      </c>
      <c r="B142" s="3" t="s">
        <v>536</v>
      </c>
      <c r="C142" s="8">
        <v>6</v>
      </c>
      <c r="D142" s="34" t="s">
        <v>538</v>
      </c>
      <c r="E142" s="8">
        <v>3</v>
      </c>
      <c r="F142" s="8">
        <f t="shared" si="4"/>
        <v>239</v>
      </c>
      <c r="G142" s="8">
        <f t="shared" si="5"/>
        <v>241</v>
      </c>
      <c r="H142" s="8"/>
    </row>
    <row r="143" spans="1:8" x14ac:dyDescent="0.25">
      <c r="A143" s="8">
        <v>96</v>
      </c>
      <c r="B143" s="3" t="s">
        <v>537</v>
      </c>
      <c r="C143" s="8">
        <v>6</v>
      </c>
      <c r="D143" s="34" t="s">
        <v>539</v>
      </c>
      <c r="E143" s="8">
        <v>3</v>
      </c>
      <c r="F143" s="8">
        <f t="shared" si="4"/>
        <v>242</v>
      </c>
      <c r="G143" s="8">
        <f t="shared" si="5"/>
        <v>244</v>
      </c>
      <c r="H143" s="8"/>
    </row>
    <row r="144" spans="1:8" x14ac:dyDescent="0.25">
      <c r="A144" s="8">
        <v>97</v>
      </c>
      <c r="B144" s="3" t="s">
        <v>146</v>
      </c>
      <c r="C144" s="8">
        <v>6</v>
      </c>
      <c r="D144" s="21">
        <v>5</v>
      </c>
      <c r="E144" s="8">
        <v>2</v>
      </c>
      <c r="F144" s="8">
        <f t="shared" si="4"/>
        <v>245</v>
      </c>
      <c r="G144" s="8">
        <f t="shared" si="5"/>
        <v>246</v>
      </c>
      <c r="H144" s="8"/>
    </row>
    <row r="145" spans="1:8" x14ac:dyDescent="0.25">
      <c r="A145" s="8">
        <v>98</v>
      </c>
      <c r="B145" s="3" t="s">
        <v>147</v>
      </c>
      <c r="C145" s="8">
        <v>6</v>
      </c>
      <c r="D145" s="21">
        <v>6</v>
      </c>
      <c r="E145" s="8">
        <v>2</v>
      </c>
      <c r="F145" s="8">
        <f t="shared" si="4"/>
        <v>247</v>
      </c>
      <c r="G145" s="8">
        <f t="shared" si="5"/>
        <v>248</v>
      </c>
      <c r="H145" s="8"/>
    </row>
    <row r="146" spans="1:8" x14ac:dyDescent="0.25">
      <c r="A146" s="8">
        <v>99</v>
      </c>
      <c r="B146" s="3" t="s">
        <v>148</v>
      </c>
      <c r="C146" s="8">
        <v>6</v>
      </c>
      <c r="D146" s="21">
        <v>7</v>
      </c>
      <c r="E146" s="8">
        <v>3</v>
      </c>
      <c r="F146" s="8">
        <f t="shared" si="4"/>
        <v>249</v>
      </c>
      <c r="G146" s="8">
        <f t="shared" si="5"/>
        <v>251</v>
      </c>
      <c r="H146" s="8"/>
    </row>
    <row r="147" spans="1:8" x14ac:dyDescent="0.25">
      <c r="A147" s="8">
        <v>100</v>
      </c>
      <c r="B147" s="3" t="s">
        <v>171</v>
      </c>
      <c r="C147" s="8">
        <v>6</v>
      </c>
      <c r="D147" s="21">
        <v>9</v>
      </c>
      <c r="E147" s="8">
        <v>8</v>
      </c>
      <c r="F147" s="8">
        <f t="shared" si="4"/>
        <v>252</v>
      </c>
      <c r="G147" s="8">
        <f t="shared" si="5"/>
        <v>259</v>
      </c>
      <c r="H147" s="8"/>
    </row>
    <row r="148" spans="1:8" x14ac:dyDescent="0.25">
      <c r="A148" s="8">
        <v>101</v>
      </c>
      <c r="B148" s="3" t="s">
        <v>172</v>
      </c>
      <c r="C148" s="8">
        <v>6</v>
      </c>
      <c r="D148" s="21">
        <v>10</v>
      </c>
      <c r="E148" s="8">
        <v>8</v>
      </c>
      <c r="F148" s="8">
        <f t="shared" si="4"/>
        <v>260</v>
      </c>
      <c r="G148" s="8">
        <f t="shared" si="5"/>
        <v>267</v>
      </c>
      <c r="H148" s="8"/>
    </row>
    <row r="149" spans="1:8" ht="31.5" x14ac:dyDescent="0.25">
      <c r="A149" s="8">
        <v>102</v>
      </c>
      <c r="B149" s="23" t="s">
        <v>559</v>
      </c>
      <c r="C149" s="23"/>
      <c r="D149" s="32"/>
      <c r="E149" s="11">
        <v>3</v>
      </c>
      <c r="F149" s="8">
        <f t="shared" si="4"/>
        <v>268</v>
      </c>
      <c r="G149" s="8">
        <f t="shared" si="5"/>
        <v>270</v>
      </c>
      <c r="H149" s="8"/>
    </row>
    <row r="150" spans="1:8" x14ac:dyDescent="0.25">
      <c r="A150" s="8">
        <v>103</v>
      </c>
      <c r="B150" s="3" t="s">
        <v>540</v>
      </c>
      <c r="C150" s="23"/>
      <c r="D150" s="32"/>
      <c r="E150" s="11">
        <v>10</v>
      </c>
      <c r="F150" s="8">
        <f t="shared" si="4"/>
        <v>271</v>
      </c>
      <c r="G150" s="8">
        <f t="shared" si="5"/>
        <v>280</v>
      </c>
      <c r="H150" s="8"/>
    </row>
    <row r="151" spans="1:8" x14ac:dyDescent="0.25">
      <c r="A151" s="8">
        <v>104</v>
      </c>
      <c r="B151" s="3" t="s">
        <v>555</v>
      </c>
      <c r="C151" s="23"/>
      <c r="D151" s="32"/>
      <c r="E151" s="11">
        <v>3</v>
      </c>
      <c r="F151" s="8">
        <f t="shared" si="4"/>
        <v>281</v>
      </c>
      <c r="G151" s="8">
        <f t="shared" si="5"/>
        <v>283</v>
      </c>
      <c r="H151" s="8" t="s">
        <v>556</v>
      </c>
    </row>
    <row r="152" spans="1:8" x14ac:dyDescent="0.25">
      <c r="A152" s="8">
        <v>105</v>
      </c>
      <c r="B152" s="3" t="s">
        <v>545</v>
      </c>
      <c r="C152" s="23"/>
      <c r="D152" s="32"/>
      <c r="E152" s="11">
        <v>10</v>
      </c>
      <c r="F152" s="8">
        <f t="shared" si="4"/>
        <v>284</v>
      </c>
      <c r="G152" s="8">
        <f t="shared" si="5"/>
        <v>293</v>
      </c>
      <c r="H152" s="8"/>
    </row>
    <row r="153" spans="1:8" x14ac:dyDescent="0.25">
      <c r="A153" s="8">
        <v>106</v>
      </c>
      <c r="B153" s="3" t="s">
        <v>547</v>
      </c>
      <c r="C153" s="23"/>
      <c r="D153" s="33"/>
      <c r="E153" s="11">
        <v>4</v>
      </c>
      <c r="F153" s="8">
        <f t="shared" si="4"/>
        <v>294</v>
      </c>
      <c r="G153" s="8">
        <f t="shared" si="5"/>
        <v>297</v>
      </c>
      <c r="H153" s="8" t="s">
        <v>557</v>
      </c>
    </row>
    <row r="154" spans="1:8" x14ac:dyDescent="0.25">
      <c r="A154" s="8">
        <v>107</v>
      </c>
      <c r="B154" s="3" t="s">
        <v>546</v>
      </c>
      <c r="C154" s="23"/>
      <c r="D154" s="42"/>
      <c r="E154" s="11">
        <v>2</v>
      </c>
      <c r="F154" s="8">
        <f t="shared" si="4"/>
        <v>298</v>
      </c>
      <c r="G154" s="8">
        <f t="shared" si="5"/>
        <v>299</v>
      </c>
      <c r="H154" s="8" t="s">
        <v>558</v>
      </c>
    </row>
    <row r="155" spans="1:8" x14ac:dyDescent="0.25">
      <c r="A155" s="8">
        <v>108</v>
      </c>
      <c r="B155" s="1" t="s">
        <v>560</v>
      </c>
      <c r="C155" s="1"/>
      <c r="D155" s="1"/>
      <c r="E155" s="1">
        <v>2</v>
      </c>
      <c r="F155" s="8">
        <f t="shared" si="4"/>
        <v>300</v>
      </c>
      <c r="G155" s="8">
        <f t="shared" si="5"/>
        <v>301</v>
      </c>
      <c r="H155" s="45" t="s">
        <v>561</v>
      </c>
    </row>
    <row r="156" spans="1:8" x14ac:dyDescent="0.25"/>
    <row r="157" spans="1:8" x14ac:dyDescent="0.25"/>
    <row r="158" spans="1:8" x14ac:dyDescent="0.25"/>
    <row r="159" spans="1:8" x14ac:dyDescent="0.25"/>
  </sheetData>
  <mergeCells count="7">
    <mergeCell ref="F3:G3"/>
    <mergeCell ref="C48:D48"/>
    <mergeCell ref="A1:H1"/>
    <mergeCell ref="A2:H2"/>
    <mergeCell ref="A45:H45"/>
    <mergeCell ref="A46:H46"/>
    <mergeCell ref="F47:G47"/>
  </mergeCells>
  <pageMargins left="0.25" right="0.25" top="0.75" bottom="0.75" header="0.3" footer="0.3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F0A2-479A-477D-BA36-D8B8CDA9CC72}">
  <dimension ref="A1:WVQ49"/>
  <sheetViews>
    <sheetView topLeftCell="A4" workbookViewId="0">
      <selection activeCell="I1" sqref="I1:I1048576"/>
    </sheetView>
  </sheetViews>
  <sheetFormatPr defaultColWidth="0" defaultRowHeight="12.75" zeroHeight="1" x14ac:dyDescent="0.2"/>
  <cols>
    <col min="1" max="1" width="6" style="46" bestFit="1" customWidth="1"/>
    <col min="2" max="2" width="62.28515625" style="46" bestFit="1" customWidth="1"/>
    <col min="3" max="3" width="10.28515625" style="46" bestFit="1" customWidth="1"/>
    <col min="4" max="4" width="14.85546875" style="46" bestFit="1" customWidth="1"/>
    <col min="5" max="5" width="12" style="46" bestFit="1" customWidth="1"/>
    <col min="6" max="7" width="10.5703125" style="46" bestFit="1" customWidth="1"/>
    <col min="8" max="8" width="11.140625" style="46" bestFit="1" customWidth="1"/>
    <col min="9" max="9" width="9.140625" style="46" customWidth="1"/>
    <col min="10" max="256" width="9.140625" style="46" hidden="1"/>
    <col min="257" max="257" width="14.42578125" style="46" hidden="1"/>
    <col min="258" max="258" width="60.28515625" style="46" hidden="1"/>
    <col min="259" max="259" width="10.7109375" style="46" hidden="1"/>
    <col min="260" max="264" width="12.42578125" style="46" hidden="1"/>
    <col min="265" max="512" width="9.140625" style="46" hidden="1"/>
    <col min="513" max="513" width="14.42578125" style="46" hidden="1"/>
    <col min="514" max="514" width="60.28515625" style="46" hidden="1"/>
    <col min="515" max="515" width="10.7109375" style="46" hidden="1"/>
    <col min="516" max="520" width="12.42578125" style="46" hidden="1"/>
    <col min="521" max="768" width="9.140625" style="46" hidden="1"/>
    <col min="769" max="769" width="14.42578125" style="46" hidden="1"/>
    <col min="770" max="770" width="60.28515625" style="46" hidden="1"/>
    <col min="771" max="771" width="10.7109375" style="46" hidden="1"/>
    <col min="772" max="776" width="12.42578125" style="46" hidden="1"/>
    <col min="777" max="1024" width="9.140625" style="46" hidden="1"/>
    <col min="1025" max="1025" width="14.42578125" style="46" hidden="1"/>
    <col min="1026" max="1026" width="60.28515625" style="46" hidden="1"/>
    <col min="1027" max="1027" width="10.7109375" style="46" hidden="1"/>
    <col min="1028" max="1032" width="12.42578125" style="46" hidden="1"/>
    <col min="1033" max="1280" width="9.140625" style="46" hidden="1"/>
    <col min="1281" max="1281" width="14.42578125" style="46" hidden="1"/>
    <col min="1282" max="1282" width="60.28515625" style="46" hidden="1"/>
    <col min="1283" max="1283" width="10.7109375" style="46" hidden="1"/>
    <col min="1284" max="1288" width="12.42578125" style="46" hidden="1"/>
    <col min="1289" max="1536" width="9.140625" style="46" hidden="1"/>
    <col min="1537" max="1537" width="14.42578125" style="46" hidden="1"/>
    <col min="1538" max="1538" width="60.28515625" style="46" hidden="1"/>
    <col min="1539" max="1539" width="10.7109375" style="46" hidden="1"/>
    <col min="1540" max="1544" width="12.42578125" style="46" hidden="1"/>
    <col min="1545" max="1792" width="9.140625" style="46" hidden="1"/>
    <col min="1793" max="1793" width="14.42578125" style="46" hidden="1"/>
    <col min="1794" max="1794" width="60.28515625" style="46" hidden="1"/>
    <col min="1795" max="1795" width="10.7109375" style="46" hidden="1"/>
    <col min="1796" max="1800" width="12.42578125" style="46" hidden="1"/>
    <col min="1801" max="2048" width="9.140625" style="46" hidden="1"/>
    <col min="2049" max="2049" width="14.42578125" style="46" hidden="1"/>
    <col min="2050" max="2050" width="60.28515625" style="46" hidden="1"/>
    <col min="2051" max="2051" width="10.7109375" style="46" hidden="1"/>
    <col min="2052" max="2056" width="12.42578125" style="46" hidden="1"/>
    <col min="2057" max="2304" width="9.140625" style="46" hidden="1"/>
    <col min="2305" max="2305" width="14.42578125" style="46" hidden="1"/>
    <col min="2306" max="2306" width="60.28515625" style="46" hidden="1"/>
    <col min="2307" max="2307" width="10.7109375" style="46" hidden="1"/>
    <col min="2308" max="2312" width="12.42578125" style="46" hidden="1"/>
    <col min="2313" max="2560" width="9.140625" style="46" hidden="1"/>
    <col min="2561" max="2561" width="14.42578125" style="46" hidden="1"/>
    <col min="2562" max="2562" width="60.28515625" style="46" hidden="1"/>
    <col min="2563" max="2563" width="10.7109375" style="46" hidden="1"/>
    <col min="2564" max="2568" width="12.42578125" style="46" hidden="1"/>
    <col min="2569" max="2816" width="9.140625" style="46" hidden="1"/>
    <col min="2817" max="2817" width="14.42578125" style="46" hidden="1"/>
    <col min="2818" max="2818" width="60.28515625" style="46" hidden="1"/>
    <col min="2819" max="2819" width="10.7109375" style="46" hidden="1"/>
    <col min="2820" max="2824" width="12.42578125" style="46" hidden="1"/>
    <col min="2825" max="3072" width="9.140625" style="46" hidden="1"/>
    <col min="3073" max="3073" width="14.42578125" style="46" hidden="1"/>
    <col min="3074" max="3074" width="60.28515625" style="46" hidden="1"/>
    <col min="3075" max="3075" width="10.7109375" style="46" hidden="1"/>
    <col min="3076" max="3080" width="12.42578125" style="46" hidden="1"/>
    <col min="3081" max="3328" width="9.140625" style="46" hidden="1"/>
    <col min="3329" max="3329" width="14.42578125" style="46" hidden="1"/>
    <col min="3330" max="3330" width="60.28515625" style="46" hidden="1"/>
    <col min="3331" max="3331" width="10.7109375" style="46" hidden="1"/>
    <col min="3332" max="3336" width="12.42578125" style="46" hidden="1"/>
    <col min="3337" max="3584" width="9.140625" style="46" hidden="1"/>
    <col min="3585" max="3585" width="14.42578125" style="46" hidden="1"/>
    <col min="3586" max="3586" width="60.28515625" style="46" hidden="1"/>
    <col min="3587" max="3587" width="10.7109375" style="46" hidden="1"/>
    <col min="3588" max="3592" width="12.42578125" style="46" hidden="1"/>
    <col min="3593" max="3840" width="9.140625" style="46" hidden="1"/>
    <col min="3841" max="3841" width="14.42578125" style="46" hidden="1"/>
    <col min="3842" max="3842" width="60.28515625" style="46" hidden="1"/>
    <col min="3843" max="3843" width="10.7109375" style="46" hidden="1"/>
    <col min="3844" max="3848" width="12.42578125" style="46" hidden="1"/>
    <col min="3849" max="4096" width="9.140625" style="46" hidden="1"/>
    <col min="4097" max="4097" width="14.42578125" style="46" hidden="1"/>
    <col min="4098" max="4098" width="60.28515625" style="46" hidden="1"/>
    <col min="4099" max="4099" width="10.7109375" style="46" hidden="1"/>
    <col min="4100" max="4104" width="12.42578125" style="46" hidden="1"/>
    <col min="4105" max="4352" width="9.140625" style="46" hidden="1"/>
    <col min="4353" max="4353" width="14.42578125" style="46" hidden="1"/>
    <col min="4354" max="4354" width="60.28515625" style="46" hidden="1"/>
    <col min="4355" max="4355" width="10.7109375" style="46" hidden="1"/>
    <col min="4356" max="4360" width="12.42578125" style="46" hidden="1"/>
    <col min="4361" max="4608" width="9.140625" style="46" hidden="1"/>
    <col min="4609" max="4609" width="14.42578125" style="46" hidden="1"/>
    <col min="4610" max="4610" width="60.28515625" style="46" hidden="1"/>
    <col min="4611" max="4611" width="10.7109375" style="46" hidden="1"/>
    <col min="4612" max="4616" width="12.42578125" style="46" hidden="1"/>
    <col min="4617" max="4864" width="9.140625" style="46" hidden="1"/>
    <col min="4865" max="4865" width="14.42578125" style="46" hidden="1"/>
    <col min="4866" max="4866" width="60.28515625" style="46" hidden="1"/>
    <col min="4867" max="4867" width="10.7109375" style="46" hidden="1"/>
    <col min="4868" max="4872" width="12.42578125" style="46" hidden="1"/>
    <col min="4873" max="5120" width="9.140625" style="46" hidden="1"/>
    <col min="5121" max="5121" width="14.42578125" style="46" hidden="1"/>
    <col min="5122" max="5122" width="60.28515625" style="46" hidden="1"/>
    <col min="5123" max="5123" width="10.7109375" style="46" hidden="1"/>
    <col min="5124" max="5128" width="12.42578125" style="46" hidden="1"/>
    <col min="5129" max="5376" width="9.140625" style="46" hidden="1"/>
    <col min="5377" max="5377" width="14.42578125" style="46" hidden="1"/>
    <col min="5378" max="5378" width="60.28515625" style="46" hidden="1"/>
    <col min="5379" max="5379" width="10.7109375" style="46" hidden="1"/>
    <col min="5380" max="5384" width="12.42578125" style="46" hidden="1"/>
    <col min="5385" max="5632" width="9.140625" style="46" hidden="1"/>
    <col min="5633" max="5633" width="14.42578125" style="46" hidden="1"/>
    <col min="5634" max="5634" width="60.28515625" style="46" hidden="1"/>
    <col min="5635" max="5635" width="10.7109375" style="46" hidden="1"/>
    <col min="5636" max="5640" width="12.42578125" style="46" hidden="1"/>
    <col min="5641" max="5888" width="9.140625" style="46" hidden="1"/>
    <col min="5889" max="5889" width="14.42578125" style="46" hidden="1"/>
    <col min="5890" max="5890" width="60.28515625" style="46" hidden="1"/>
    <col min="5891" max="5891" width="10.7109375" style="46" hidden="1"/>
    <col min="5892" max="5896" width="12.42578125" style="46" hidden="1"/>
    <col min="5897" max="6144" width="9.140625" style="46" hidden="1"/>
    <col min="6145" max="6145" width="14.42578125" style="46" hidden="1"/>
    <col min="6146" max="6146" width="60.28515625" style="46" hidden="1"/>
    <col min="6147" max="6147" width="10.7109375" style="46" hidden="1"/>
    <col min="6148" max="6152" width="12.42578125" style="46" hidden="1"/>
    <col min="6153" max="6400" width="9.140625" style="46" hidden="1"/>
    <col min="6401" max="6401" width="14.42578125" style="46" hidden="1"/>
    <col min="6402" max="6402" width="60.28515625" style="46" hidden="1"/>
    <col min="6403" max="6403" width="10.7109375" style="46" hidden="1"/>
    <col min="6404" max="6408" width="12.42578125" style="46" hidden="1"/>
    <col min="6409" max="6656" width="9.140625" style="46" hidden="1"/>
    <col min="6657" max="6657" width="14.42578125" style="46" hidden="1"/>
    <col min="6658" max="6658" width="60.28515625" style="46" hidden="1"/>
    <col min="6659" max="6659" width="10.7109375" style="46" hidden="1"/>
    <col min="6660" max="6664" width="12.42578125" style="46" hidden="1"/>
    <col min="6665" max="6912" width="9.140625" style="46" hidden="1"/>
    <col min="6913" max="6913" width="14.42578125" style="46" hidden="1"/>
    <col min="6914" max="6914" width="60.28515625" style="46" hidden="1"/>
    <col min="6915" max="6915" width="10.7109375" style="46" hidden="1"/>
    <col min="6916" max="6920" width="12.42578125" style="46" hidden="1"/>
    <col min="6921" max="7168" width="9.140625" style="46" hidden="1"/>
    <col min="7169" max="7169" width="14.42578125" style="46" hidden="1"/>
    <col min="7170" max="7170" width="60.28515625" style="46" hidden="1"/>
    <col min="7171" max="7171" width="10.7109375" style="46" hidden="1"/>
    <col min="7172" max="7176" width="12.42578125" style="46" hidden="1"/>
    <col min="7177" max="7424" width="9.140625" style="46" hidden="1"/>
    <col min="7425" max="7425" width="14.42578125" style="46" hidden="1"/>
    <col min="7426" max="7426" width="60.28515625" style="46" hidden="1"/>
    <col min="7427" max="7427" width="10.7109375" style="46" hidden="1"/>
    <col min="7428" max="7432" width="12.42578125" style="46" hidden="1"/>
    <col min="7433" max="7680" width="9.140625" style="46" hidden="1"/>
    <col min="7681" max="7681" width="14.42578125" style="46" hidden="1"/>
    <col min="7682" max="7682" width="60.28515625" style="46" hidden="1"/>
    <col min="7683" max="7683" width="10.7109375" style="46" hidden="1"/>
    <col min="7684" max="7688" width="12.42578125" style="46" hidden="1"/>
    <col min="7689" max="7936" width="9.140625" style="46" hidden="1"/>
    <col min="7937" max="7937" width="14.42578125" style="46" hidden="1"/>
    <col min="7938" max="7938" width="60.28515625" style="46" hidden="1"/>
    <col min="7939" max="7939" width="10.7109375" style="46" hidden="1"/>
    <col min="7940" max="7944" width="12.42578125" style="46" hidden="1"/>
    <col min="7945" max="8192" width="9.140625" style="46" hidden="1"/>
    <col min="8193" max="8193" width="14.42578125" style="46" hidden="1"/>
    <col min="8194" max="8194" width="60.28515625" style="46" hidden="1"/>
    <col min="8195" max="8195" width="10.7109375" style="46" hidden="1"/>
    <col min="8196" max="8200" width="12.42578125" style="46" hidden="1"/>
    <col min="8201" max="8448" width="9.140625" style="46" hidden="1"/>
    <col min="8449" max="8449" width="14.42578125" style="46" hidden="1"/>
    <col min="8450" max="8450" width="60.28515625" style="46" hidden="1"/>
    <col min="8451" max="8451" width="10.7109375" style="46" hidden="1"/>
    <col min="8452" max="8456" width="12.42578125" style="46" hidden="1"/>
    <col min="8457" max="8704" width="9.140625" style="46" hidden="1"/>
    <col min="8705" max="8705" width="14.42578125" style="46" hidden="1"/>
    <col min="8706" max="8706" width="60.28515625" style="46" hidden="1"/>
    <col min="8707" max="8707" width="10.7109375" style="46" hidden="1"/>
    <col min="8708" max="8712" width="12.42578125" style="46" hidden="1"/>
    <col min="8713" max="8960" width="9.140625" style="46" hidden="1"/>
    <col min="8961" max="8961" width="14.42578125" style="46" hidden="1"/>
    <col min="8962" max="8962" width="60.28515625" style="46" hidden="1"/>
    <col min="8963" max="8963" width="10.7109375" style="46" hidden="1"/>
    <col min="8964" max="8968" width="12.42578125" style="46" hidden="1"/>
    <col min="8969" max="9216" width="9.140625" style="46" hidden="1"/>
    <col min="9217" max="9217" width="14.42578125" style="46" hidden="1"/>
    <col min="9218" max="9218" width="60.28515625" style="46" hidden="1"/>
    <col min="9219" max="9219" width="10.7109375" style="46" hidden="1"/>
    <col min="9220" max="9224" width="12.42578125" style="46" hidden="1"/>
    <col min="9225" max="9472" width="9.140625" style="46" hidden="1"/>
    <col min="9473" max="9473" width="14.42578125" style="46" hidden="1"/>
    <col min="9474" max="9474" width="60.28515625" style="46" hidden="1"/>
    <col min="9475" max="9475" width="10.7109375" style="46" hidden="1"/>
    <col min="9476" max="9480" width="12.42578125" style="46" hidden="1"/>
    <col min="9481" max="9728" width="9.140625" style="46" hidden="1"/>
    <col min="9729" max="9729" width="14.42578125" style="46" hidden="1"/>
    <col min="9730" max="9730" width="60.28515625" style="46" hidden="1"/>
    <col min="9731" max="9731" width="10.7109375" style="46" hidden="1"/>
    <col min="9732" max="9736" width="12.42578125" style="46" hidden="1"/>
    <col min="9737" max="9984" width="9.140625" style="46" hidden="1"/>
    <col min="9985" max="9985" width="14.42578125" style="46" hidden="1"/>
    <col min="9986" max="9986" width="60.28515625" style="46" hidden="1"/>
    <col min="9987" max="9987" width="10.7109375" style="46" hidden="1"/>
    <col min="9988" max="9992" width="12.42578125" style="46" hidden="1"/>
    <col min="9993" max="10240" width="9.140625" style="46" hidden="1"/>
    <col min="10241" max="10241" width="14.42578125" style="46" hidden="1"/>
    <col min="10242" max="10242" width="60.28515625" style="46" hidden="1"/>
    <col min="10243" max="10243" width="10.7109375" style="46" hidden="1"/>
    <col min="10244" max="10248" width="12.42578125" style="46" hidden="1"/>
    <col min="10249" max="10496" width="9.140625" style="46" hidden="1"/>
    <col min="10497" max="10497" width="14.42578125" style="46" hidden="1"/>
    <col min="10498" max="10498" width="60.28515625" style="46" hidden="1"/>
    <col min="10499" max="10499" width="10.7109375" style="46" hidden="1"/>
    <col min="10500" max="10504" width="12.42578125" style="46" hidden="1"/>
    <col min="10505" max="10752" width="9.140625" style="46" hidden="1"/>
    <col min="10753" max="10753" width="14.42578125" style="46" hidden="1"/>
    <col min="10754" max="10754" width="60.28515625" style="46" hidden="1"/>
    <col min="10755" max="10755" width="10.7109375" style="46" hidden="1"/>
    <col min="10756" max="10760" width="12.42578125" style="46" hidden="1"/>
    <col min="10761" max="11008" width="9.140625" style="46" hidden="1"/>
    <col min="11009" max="11009" width="14.42578125" style="46" hidden="1"/>
    <col min="11010" max="11010" width="60.28515625" style="46" hidden="1"/>
    <col min="11011" max="11011" width="10.7109375" style="46" hidden="1"/>
    <col min="11012" max="11016" width="12.42578125" style="46" hidden="1"/>
    <col min="11017" max="11264" width="9.140625" style="46" hidden="1"/>
    <col min="11265" max="11265" width="14.42578125" style="46" hidden="1"/>
    <col min="11266" max="11266" width="60.28515625" style="46" hidden="1"/>
    <col min="11267" max="11267" width="10.7109375" style="46" hidden="1"/>
    <col min="11268" max="11272" width="12.42578125" style="46" hidden="1"/>
    <col min="11273" max="11520" width="9.140625" style="46" hidden="1"/>
    <col min="11521" max="11521" width="14.42578125" style="46" hidden="1"/>
    <col min="11522" max="11522" width="60.28515625" style="46" hidden="1"/>
    <col min="11523" max="11523" width="10.7109375" style="46" hidden="1"/>
    <col min="11524" max="11528" width="12.42578125" style="46" hidden="1"/>
    <col min="11529" max="11776" width="9.140625" style="46" hidden="1"/>
    <col min="11777" max="11777" width="14.42578125" style="46" hidden="1"/>
    <col min="11778" max="11778" width="60.28515625" style="46" hidden="1"/>
    <col min="11779" max="11779" width="10.7109375" style="46" hidden="1"/>
    <col min="11780" max="11784" width="12.42578125" style="46" hidden="1"/>
    <col min="11785" max="12032" width="9.140625" style="46" hidden="1"/>
    <col min="12033" max="12033" width="14.42578125" style="46" hidden="1"/>
    <col min="12034" max="12034" width="60.28515625" style="46" hidden="1"/>
    <col min="12035" max="12035" width="10.7109375" style="46" hidden="1"/>
    <col min="12036" max="12040" width="12.42578125" style="46" hidden="1"/>
    <col min="12041" max="12288" width="9.140625" style="46" hidden="1"/>
    <col min="12289" max="12289" width="14.42578125" style="46" hidden="1"/>
    <col min="12290" max="12290" width="60.28515625" style="46" hidden="1"/>
    <col min="12291" max="12291" width="10.7109375" style="46" hidden="1"/>
    <col min="12292" max="12296" width="12.42578125" style="46" hidden="1"/>
    <col min="12297" max="12544" width="9.140625" style="46" hidden="1"/>
    <col min="12545" max="12545" width="14.42578125" style="46" hidden="1"/>
    <col min="12546" max="12546" width="60.28515625" style="46" hidden="1"/>
    <col min="12547" max="12547" width="10.7109375" style="46" hidden="1"/>
    <col min="12548" max="12552" width="12.42578125" style="46" hidden="1"/>
    <col min="12553" max="12800" width="9.140625" style="46" hidden="1"/>
    <col min="12801" max="12801" width="14.42578125" style="46" hidden="1"/>
    <col min="12802" max="12802" width="60.28515625" style="46" hidden="1"/>
    <col min="12803" max="12803" width="10.7109375" style="46" hidden="1"/>
    <col min="12804" max="12808" width="12.42578125" style="46" hidden="1"/>
    <col min="12809" max="13056" width="9.140625" style="46" hidden="1"/>
    <col min="13057" max="13057" width="14.42578125" style="46" hidden="1"/>
    <col min="13058" max="13058" width="60.28515625" style="46" hidden="1"/>
    <col min="13059" max="13059" width="10.7109375" style="46" hidden="1"/>
    <col min="13060" max="13064" width="12.42578125" style="46" hidden="1"/>
    <col min="13065" max="13312" width="9.140625" style="46" hidden="1"/>
    <col min="13313" max="13313" width="14.42578125" style="46" hidden="1"/>
    <col min="13314" max="13314" width="60.28515625" style="46" hidden="1"/>
    <col min="13315" max="13315" width="10.7109375" style="46" hidden="1"/>
    <col min="13316" max="13320" width="12.42578125" style="46" hidden="1"/>
    <col min="13321" max="13568" width="9.140625" style="46" hidden="1"/>
    <col min="13569" max="13569" width="14.42578125" style="46" hidden="1"/>
    <col min="13570" max="13570" width="60.28515625" style="46" hidden="1"/>
    <col min="13571" max="13571" width="10.7109375" style="46" hidden="1"/>
    <col min="13572" max="13576" width="12.42578125" style="46" hidden="1"/>
    <col min="13577" max="13824" width="9.140625" style="46" hidden="1"/>
    <col min="13825" max="13825" width="14.42578125" style="46" hidden="1"/>
    <col min="13826" max="13826" width="60.28515625" style="46" hidden="1"/>
    <col min="13827" max="13827" width="10.7109375" style="46" hidden="1"/>
    <col min="13828" max="13832" width="12.42578125" style="46" hidden="1"/>
    <col min="13833" max="14080" width="9.140625" style="46" hidden="1"/>
    <col min="14081" max="14081" width="14.42578125" style="46" hidden="1"/>
    <col min="14082" max="14082" width="60.28515625" style="46" hidden="1"/>
    <col min="14083" max="14083" width="10.7109375" style="46" hidden="1"/>
    <col min="14084" max="14088" width="12.42578125" style="46" hidden="1"/>
    <col min="14089" max="14336" width="9.140625" style="46" hidden="1"/>
    <col min="14337" max="14337" width="14.42578125" style="46" hidden="1"/>
    <col min="14338" max="14338" width="60.28515625" style="46" hidden="1"/>
    <col min="14339" max="14339" width="10.7109375" style="46" hidden="1"/>
    <col min="14340" max="14344" width="12.42578125" style="46" hidden="1"/>
    <col min="14345" max="14592" width="9.140625" style="46" hidden="1"/>
    <col min="14593" max="14593" width="14.42578125" style="46" hidden="1"/>
    <col min="14594" max="14594" width="60.28515625" style="46" hidden="1"/>
    <col min="14595" max="14595" width="10.7109375" style="46" hidden="1"/>
    <col min="14596" max="14600" width="12.42578125" style="46" hidden="1"/>
    <col min="14601" max="14848" width="9.140625" style="46" hidden="1"/>
    <col min="14849" max="14849" width="14.42578125" style="46" hidden="1"/>
    <col min="14850" max="14850" width="60.28515625" style="46" hidden="1"/>
    <col min="14851" max="14851" width="10.7109375" style="46" hidden="1"/>
    <col min="14852" max="14856" width="12.42578125" style="46" hidden="1"/>
    <col min="14857" max="15104" width="9.140625" style="46" hidden="1"/>
    <col min="15105" max="15105" width="14.42578125" style="46" hidden="1"/>
    <col min="15106" max="15106" width="60.28515625" style="46" hidden="1"/>
    <col min="15107" max="15107" width="10.7109375" style="46" hidden="1"/>
    <col min="15108" max="15112" width="12.42578125" style="46" hidden="1"/>
    <col min="15113" max="15360" width="9.140625" style="46" hidden="1"/>
    <col min="15361" max="15361" width="14.42578125" style="46" hidden="1"/>
    <col min="15362" max="15362" width="60.28515625" style="46" hidden="1"/>
    <col min="15363" max="15363" width="10.7109375" style="46" hidden="1"/>
    <col min="15364" max="15368" width="12.42578125" style="46" hidden="1"/>
    <col min="15369" max="15616" width="9.140625" style="46" hidden="1"/>
    <col min="15617" max="15617" width="14.42578125" style="46" hidden="1"/>
    <col min="15618" max="15618" width="60.28515625" style="46" hidden="1"/>
    <col min="15619" max="15619" width="10.7109375" style="46" hidden="1"/>
    <col min="15620" max="15624" width="12.42578125" style="46" hidden="1"/>
    <col min="15625" max="15872" width="9.140625" style="46" hidden="1"/>
    <col min="15873" max="15873" width="14.42578125" style="46" hidden="1"/>
    <col min="15874" max="15874" width="60.28515625" style="46" hidden="1"/>
    <col min="15875" max="15875" width="10.7109375" style="46" hidden="1"/>
    <col min="15876" max="15880" width="12.42578125" style="46" hidden="1"/>
    <col min="15881" max="16128" width="9.140625" style="46" hidden="1"/>
    <col min="16129" max="16129" width="14.42578125" style="46" hidden="1"/>
    <col min="16130" max="16130" width="60.28515625" style="46" hidden="1"/>
    <col min="16131" max="16131" width="10.7109375" style="46" hidden="1"/>
    <col min="16132" max="16137" width="12.42578125" style="46" hidden="1"/>
    <col min="16138" max="16384" width="9.140625" style="46" hidden="1"/>
  </cols>
  <sheetData>
    <row r="1" spans="1:8" s="50" customFormat="1" ht="38.25" x14ac:dyDescent="0.2">
      <c r="A1" s="47" t="s">
        <v>563</v>
      </c>
      <c r="B1" s="47" t="s">
        <v>1</v>
      </c>
      <c r="C1" s="48" t="s">
        <v>2</v>
      </c>
      <c r="D1" s="48" t="s">
        <v>159</v>
      </c>
      <c r="E1" s="48" t="s">
        <v>3</v>
      </c>
      <c r="F1" s="49" t="s">
        <v>550</v>
      </c>
      <c r="G1" s="49" t="s">
        <v>551</v>
      </c>
      <c r="H1" s="49" t="s">
        <v>174</v>
      </c>
    </row>
    <row r="2" spans="1:8" x14ac:dyDescent="0.2">
      <c r="A2" s="28">
        <v>1</v>
      </c>
      <c r="B2" s="28" t="s">
        <v>150</v>
      </c>
      <c r="C2" s="28">
        <v>0</v>
      </c>
      <c r="D2" s="28">
        <v>0</v>
      </c>
      <c r="E2" s="28">
        <v>5</v>
      </c>
      <c r="F2" s="28">
        <f>1</f>
        <v>1</v>
      </c>
      <c r="G2" s="28">
        <f>F2+E2-1</f>
        <v>5</v>
      </c>
      <c r="H2" s="28" t="s">
        <v>175</v>
      </c>
    </row>
    <row r="3" spans="1:8" x14ac:dyDescent="0.2">
      <c r="A3" s="28">
        <v>2</v>
      </c>
      <c r="B3" s="28" t="s">
        <v>23</v>
      </c>
      <c r="C3" s="28">
        <v>1</v>
      </c>
      <c r="D3" s="28">
        <v>2</v>
      </c>
      <c r="E3" s="28">
        <v>3</v>
      </c>
      <c r="F3" s="28">
        <f>G2+1</f>
        <v>6</v>
      </c>
      <c r="G3" s="28">
        <f>F3+E3-1</f>
        <v>8</v>
      </c>
      <c r="H3" s="28" t="s">
        <v>176</v>
      </c>
    </row>
    <row r="4" spans="1:8" x14ac:dyDescent="0.2">
      <c r="A4" s="28">
        <v>3</v>
      </c>
      <c r="B4" s="28" t="s">
        <v>5</v>
      </c>
      <c r="C4" s="28">
        <v>0</v>
      </c>
      <c r="D4" s="28">
        <v>0</v>
      </c>
      <c r="E4" s="28">
        <v>2</v>
      </c>
      <c r="F4" s="28">
        <f t="shared" ref="F4:F40" si="0">G3+1</f>
        <v>9</v>
      </c>
      <c r="G4" s="28">
        <f t="shared" ref="G4:G40" si="1">F4+E4-1</f>
        <v>10</v>
      </c>
      <c r="H4" s="28" t="s">
        <v>177</v>
      </c>
    </row>
    <row r="5" spans="1:8" x14ac:dyDescent="0.2">
      <c r="A5" s="28">
        <v>4</v>
      </c>
      <c r="B5" s="28" t="s">
        <v>509</v>
      </c>
      <c r="C5" s="28">
        <v>0</v>
      </c>
      <c r="D5" s="28">
        <v>0</v>
      </c>
      <c r="E5" s="28">
        <v>2</v>
      </c>
      <c r="F5" s="28">
        <f t="shared" si="0"/>
        <v>11</v>
      </c>
      <c r="G5" s="28">
        <f t="shared" si="1"/>
        <v>12</v>
      </c>
      <c r="H5" s="28" t="s">
        <v>510</v>
      </c>
    </row>
    <row r="6" spans="1:8" x14ac:dyDescent="0.2">
      <c r="A6" s="28">
        <v>5</v>
      </c>
      <c r="B6" s="28" t="s">
        <v>6</v>
      </c>
      <c r="C6" s="28">
        <v>0</v>
      </c>
      <c r="D6" s="28">
        <v>0</v>
      </c>
      <c r="E6" s="28">
        <v>2</v>
      </c>
      <c r="F6" s="28">
        <f t="shared" si="0"/>
        <v>13</v>
      </c>
      <c r="G6" s="28">
        <f t="shared" si="1"/>
        <v>14</v>
      </c>
      <c r="H6" s="28" t="s">
        <v>178</v>
      </c>
    </row>
    <row r="7" spans="1:8" x14ac:dyDescent="0.2">
      <c r="A7" s="28">
        <v>6</v>
      </c>
      <c r="B7" s="28" t="s">
        <v>7</v>
      </c>
      <c r="C7" s="28">
        <v>1</v>
      </c>
      <c r="D7" s="28">
        <v>3</v>
      </c>
      <c r="E7" s="28">
        <v>1</v>
      </c>
      <c r="F7" s="28">
        <f t="shared" si="0"/>
        <v>15</v>
      </c>
      <c r="G7" s="28">
        <f t="shared" si="1"/>
        <v>15</v>
      </c>
      <c r="H7" s="28" t="s">
        <v>179</v>
      </c>
    </row>
    <row r="8" spans="1:8" x14ac:dyDescent="0.2">
      <c r="A8" s="28">
        <v>7</v>
      </c>
      <c r="B8" s="28" t="s">
        <v>11</v>
      </c>
      <c r="C8" s="28">
        <v>0</v>
      </c>
      <c r="D8" s="28">
        <v>1</v>
      </c>
      <c r="E8" s="28">
        <v>2</v>
      </c>
      <c r="F8" s="28">
        <f t="shared" si="0"/>
        <v>16</v>
      </c>
      <c r="G8" s="28">
        <f t="shared" si="1"/>
        <v>17</v>
      </c>
      <c r="H8" s="28" t="s">
        <v>180</v>
      </c>
    </row>
    <row r="9" spans="1:8" x14ac:dyDescent="0.2">
      <c r="A9" s="28">
        <v>8</v>
      </c>
      <c r="B9" s="28" t="s">
        <v>160</v>
      </c>
      <c r="C9" s="28">
        <v>1</v>
      </c>
      <c r="D9" s="28">
        <v>4</v>
      </c>
      <c r="E9" s="28">
        <v>2</v>
      </c>
      <c r="F9" s="28">
        <f t="shared" si="0"/>
        <v>18</v>
      </c>
      <c r="G9" s="28">
        <f t="shared" si="1"/>
        <v>19</v>
      </c>
      <c r="H9" s="28" t="s">
        <v>181</v>
      </c>
    </row>
    <row r="10" spans="1:8" x14ac:dyDescent="0.2">
      <c r="A10" s="28">
        <v>9</v>
      </c>
      <c r="B10" s="28" t="s">
        <v>31</v>
      </c>
      <c r="C10" s="28">
        <v>1</v>
      </c>
      <c r="D10" s="28">
        <v>4</v>
      </c>
      <c r="E10" s="28">
        <v>3</v>
      </c>
      <c r="F10" s="28">
        <f t="shared" si="0"/>
        <v>20</v>
      </c>
      <c r="G10" s="28">
        <f t="shared" si="1"/>
        <v>22</v>
      </c>
      <c r="H10" s="28" t="s">
        <v>182</v>
      </c>
    </row>
    <row r="11" spans="1:8" x14ac:dyDescent="0.2">
      <c r="A11" s="28">
        <v>10</v>
      </c>
      <c r="B11" s="28" t="s">
        <v>548</v>
      </c>
      <c r="C11" s="28">
        <v>0</v>
      </c>
      <c r="D11" s="28">
        <v>0</v>
      </c>
      <c r="E11" s="28">
        <v>4</v>
      </c>
      <c r="F11" s="28">
        <f t="shared" si="0"/>
        <v>23</v>
      </c>
      <c r="G11" s="28">
        <f t="shared" si="1"/>
        <v>26</v>
      </c>
      <c r="H11" s="28" t="s">
        <v>544</v>
      </c>
    </row>
    <row r="12" spans="1:8" x14ac:dyDescent="0.2">
      <c r="A12" s="28">
        <v>11</v>
      </c>
      <c r="B12" s="28" t="s">
        <v>12</v>
      </c>
      <c r="C12" s="28">
        <v>1</v>
      </c>
      <c r="D12" s="28">
        <v>5</v>
      </c>
      <c r="E12" s="28">
        <v>3</v>
      </c>
      <c r="F12" s="28">
        <f t="shared" si="0"/>
        <v>27</v>
      </c>
      <c r="G12" s="28">
        <f t="shared" si="1"/>
        <v>29</v>
      </c>
      <c r="H12" s="28" t="s">
        <v>183</v>
      </c>
    </row>
    <row r="13" spans="1:8" x14ac:dyDescent="0.2">
      <c r="A13" s="28">
        <v>12</v>
      </c>
      <c r="B13" s="28" t="s">
        <v>552</v>
      </c>
      <c r="C13" s="28">
        <v>0</v>
      </c>
      <c r="D13" s="28">
        <v>0</v>
      </c>
      <c r="E13" s="28">
        <v>1</v>
      </c>
      <c r="F13" s="28">
        <f t="shared" si="0"/>
        <v>30</v>
      </c>
      <c r="G13" s="28">
        <f t="shared" si="1"/>
        <v>30</v>
      </c>
      <c r="H13" s="28" t="s">
        <v>553</v>
      </c>
    </row>
    <row r="14" spans="1:8" x14ac:dyDescent="0.2">
      <c r="A14" s="28">
        <v>13</v>
      </c>
      <c r="B14" s="28" t="s">
        <v>13</v>
      </c>
      <c r="C14" s="28">
        <v>1</v>
      </c>
      <c r="D14" s="28">
        <v>6</v>
      </c>
      <c r="E14" s="28">
        <v>2</v>
      </c>
      <c r="F14" s="28">
        <f t="shared" si="0"/>
        <v>31</v>
      </c>
      <c r="G14" s="28">
        <f t="shared" si="1"/>
        <v>32</v>
      </c>
      <c r="H14" s="28" t="s">
        <v>184</v>
      </c>
    </row>
    <row r="15" spans="1:8" x14ac:dyDescent="0.2">
      <c r="A15" s="28">
        <v>14</v>
      </c>
      <c r="B15" s="28" t="s">
        <v>15</v>
      </c>
      <c r="C15" s="28">
        <v>1</v>
      </c>
      <c r="D15" s="28">
        <v>12</v>
      </c>
      <c r="E15" s="28">
        <v>4</v>
      </c>
      <c r="F15" s="28">
        <f t="shared" si="0"/>
        <v>33</v>
      </c>
      <c r="G15" s="28">
        <f t="shared" si="1"/>
        <v>36</v>
      </c>
      <c r="H15" s="28" t="s">
        <v>186</v>
      </c>
    </row>
    <row r="16" spans="1:8" x14ac:dyDescent="0.2">
      <c r="A16" s="28">
        <v>15</v>
      </c>
      <c r="B16" s="28" t="s">
        <v>151</v>
      </c>
      <c r="C16" s="28">
        <v>1</v>
      </c>
      <c r="D16" s="28">
        <v>1</v>
      </c>
      <c r="E16" s="28">
        <v>5</v>
      </c>
      <c r="F16" s="28">
        <f t="shared" si="0"/>
        <v>37</v>
      </c>
      <c r="G16" s="28">
        <f t="shared" si="1"/>
        <v>41</v>
      </c>
      <c r="H16" s="28" t="s">
        <v>187</v>
      </c>
    </row>
    <row r="17" spans="1:8" x14ac:dyDescent="0.2">
      <c r="A17" s="28">
        <v>16</v>
      </c>
      <c r="B17" s="28" t="s">
        <v>9</v>
      </c>
      <c r="C17" s="28">
        <v>1</v>
      </c>
      <c r="D17" s="28">
        <v>14</v>
      </c>
      <c r="E17" s="28">
        <v>1</v>
      </c>
      <c r="F17" s="28">
        <f t="shared" si="0"/>
        <v>42</v>
      </c>
      <c r="G17" s="28">
        <f t="shared" si="1"/>
        <v>42</v>
      </c>
      <c r="H17" s="28" t="s">
        <v>189</v>
      </c>
    </row>
    <row r="18" spans="1:8" x14ac:dyDescent="0.2">
      <c r="A18" s="28">
        <v>17</v>
      </c>
      <c r="B18" s="28" t="s">
        <v>10</v>
      </c>
      <c r="C18" s="28">
        <v>1</v>
      </c>
      <c r="D18" s="28">
        <v>15</v>
      </c>
      <c r="E18" s="28">
        <v>2</v>
      </c>
      <c r="F18" s="28">
        <f t="shared" si="0"/>
        <v>43</v>
      </c>
      <c r="G18" s="28">
        <f t="shared" si="1"/>
        <v>44</v>
      </c>
      <c r="H18" s="28" t="s">
        <v>190</v>
      </c>
    </row>
    <row r="19" spans="1:8" x14ac:dyDescent="0.2">
      <c r="A19" s="28">
        <v>18</v>
      </c>
      <c r="B19" s="28" t="s">
        <v>24</v>
      </c>
      <c r="C19" s="28">
        <v>1</v>
      </c>
      <c r="D19" s="28">
        <v>9</v>
      </c>
      <c r="E19" s="28">
        <v>2</v>
      </c>
      <c r="F19" s="28">
        <f t="shared" si="0"/>
        <v>45</v>
      </c>
      <c r="G19" s="28">
        <f t="shared" si="1"/>
        <v>46</v>
      </c>
      <c r="H19" s="28" t="s">
        <v>191</v>
      </c>
    </row>
    <row r="20" spans="1:8" x14ac:dyDescent="0.2">
      <c r="A20" s="28">
        <v>19</v>
      </c>
      <c r="B20" s="28" t="s">
        <v>25</v>
      </c>
      <c r="C20" s="28">
        <v>1</v>
      </c>
      <c r="D20" s="28">
        <v>17</v>
      </c>
      <c r="E20" s="28">
        <v>1</v>
      </c>
      <c r="F20" s="28">
        <f t="shared" si="0"/>
        <v>47</v>
      </c>
      <c r="G20" s="28">
        <f t="shared" si="1"/>
        <v>47</v>
      </c>
      <c r="H20" s="28" t="s">
        <v>192</v>
      </c>
    </row>
    <row r="21" spans="1:8" x14ac:dyDescent="0.2">
      <c r="A21" s="28">
        <v>20</v>
      </c>
      <c r="B21" s="28" t="s">
        <v>16</v>
      </c>
      <c r="C21" s="28">
        <v>1</v>
      </c>
      <c r="D21" s="28">
        <v>18</v>
      </c>
      <c r="E21" s="28">
        <v>1</v>
      </c>
      <c r="F21" s="28">
        <f t="shared" si="0"/>
        <v>48</v>
      </c>
      <c r="G21" s="28">
        <f t="shared" si="1"/>
        <v>48</v>
      </c>
      <c r="H21" s="28" t="s">
        <v>193</v>
      </c>
    </row>
    <row r="22" spans="1:8" x14ac:dyDescent="0.2">
      <c r="A22" s="28">
        <v>21</v>
      </c>
      <c r="B22" s="28" t="s">
        <v>27</v>
      </c>
      <c r="C22" s="28">
        <v>1</v>
      </c>
      <c r="D22" s="28">
        <v>19</v>
      </c>
      <c r="E22" s="28">
        <v>1</v>
      </c>
      <c r="F22" s="28">
        <f t="shared" si="0"/>
        <v>49</v>
      </c>
      <c r="G22" s="28">
        <f t="shared" si="1"/>
        <v>49</v>
      </c>
      <c r="H22" s="28" t="s">
        <v>194</v>
      </c>
    </row>
    <row r="23" spans="1:8" x14ac:dyDescent="0.2">
      <c r="A23" s="28">
        <v>22</v>
      </c>
      <c r="B23" s="28" t="s">
        <v>18</v>
      </c>
      <c r="C23" s="28">
        <v>3</v>
      </c>
      <c r="D23" s="28">
        <v>1</v>
      </c>
      <c r="E23" s="28">
        <v>2</v>
      </c>
      <c r="F23" s="28">
        <f t="shared" si="0"/>
        <v>50</v>
      </c>
      <c r="G23" s="28">
        <f t="shared" si="1"/>
        <v>51</v>
      </c>
      <c r="H23" s="28" t="s">
        <v>195</v>
      </c>
    </row>
    <row r="24" spans="1:8" x14ac:dyDescent="0.2">
      <c r="A24" s="28">
        <v>23</v>
      </c>
      <c r="B24" s="28" t="s">
        <v>19</v>
      </c>
      <c r="C24" s="28">
        <v>3</v>
      </c>
      <c r="D24" s="28">
        <v>2</v>
      </c>
      <c r="E24" s="28">
        <v>1</v>
      </c>
      <c r="F24" s="28">
        <f t="shared" si="0"/>
        <v>52</v>
      </c>
      <c r="G24" s="28">
        <f t="shared" si="1"/>
        <v>52</v>
      </c>
      <c r="H24" s="28" t="s">
        <v>196</v>
      </c>
    </row>
    <row r="25" spans="1:8" x14ac:dyDescent="0.2">
      <c r="A25" s="28">
        <v>24</v>
      </c>
      <c r="B25" s="28" t="s">
        <v>20</v>
      </c>
      <c r="C25" s="28">
        <v>3</v>
      </c>
      <c r="D25" s="28">
        <v>3</v>
      </c>
      <c r="E25" s="28">
        <v>1</v>
      </c>
      <c r="F25" s="28">
        <f t="shared" si="0"/>
        <v>53</v>
      </c>
      <c r="G25" s="28">
        <f t="shared" si="1"/>
        <v>53</v>
      </c>
      <c r="H25" s="28" t="s">
        <v>197</v>
      </c>
    </row>
    <row r="26" spans="1:8" x14ac:dyDescent="0.2">
      <c r="A26" s="28">
        <v>25</v>
      </c>
      <c r="B26" s="28" t="s">
        <v>21</v>
      </c>
      <c r="C26" s="28">
        <v>3</v>
      </c>
      <c r="D26" s="28">
        <v>4</v>
      </c>
      <c r="E26" s="28">
        <v>1</v>
      </c>
      <c r="F26" s="28">
        <f t="shared" si="0"/>
        <v>54</v>
      </c>
      <c r="G26" s="28">
        <f t="shared" si="1"/>
        <v>54</v>
      </c>
      <c r="H26" s="28" t="s">
        <v>198</v>
      </c>
    </row>
    <row r="27" spans="1:8" x14ac:dyDescent="0.2">
      <c r="A27" s="28">
        <v>26</v>
      </c>
      <c r="B27" s="28" t="s">
        <v>22</v>
      </c>
      <c r="C27" s="28">
        <v>3</v>
      </c>
      <c r="D27" s="28">
        <v>5.6</v>
      </c>
      <c r="E27" s="28">
        <v>10</v>
      </c>
      <c r="F27" s="28">
        <f t="shared" si="0"/>
        <v>55</v>
      </c>
      <c r="G27" s="28">
        <f t="shared" si="1"/>
        <v>64</v>
      </c>
      <c r="H27" s="28" t="s">
        <v>199</v>
      </c>
    </row>
    <row r="28" spans="1:8" x14ac:dyDescent="0.2">
      <c r="A28" s="28">
        <v>27</v>
      </c>
      <c r="B28" s="28" t="s">
        <v>511</v>
      </c>
      <c r="C28" s="28">
        <v>3</v>
      </c>
      <c r="D28" s="28">
        <v>6.1</v>
      </c>
      <c r="E28" s="28">
        <v>2</v>
      </c>
      <c r="F28" s="28">
        <f t="shared" si="0"/>
        <v>65</v>
      </c>
      <c r="G28" s="28">
        <f t="shared" si="1"/>
        <v>66</v>
      </c>
      <c r="H28" s="28" t="s">
        <v>507</v>
      </c>
    </row>
    <row r="29" spans="1:8" x14ac:dyDescent="0.2">
      <c r="A29" s="28">
        <v>28</v>
      </c>
      <c r="B29" s="28" t="s">
        <v>514</v>
      </c>
      <c r="C29" s="28">
        <v>3</v>
      </c>
      <c r="D29" s="28">
        <v>6.2</v>
      </c>
      <c r="E29" s="28">
        <v>2</v>
      </c>
      <c r="F29" s="28">
        <f t="shared" si="0"/>
        <v>67</v>
      </c>
      <c r="G29" s="28">
        <f t="shared" si="1"/>
        <v>68</v>
      </c>
      <c r="H29" s="28" t="s">
        <v>513</v>
      </c>
    </row>
    <row r="30" spans="1:8" x14ac:dyDescent="0.2">
      <c r="A30" s="28">
        <v>29</v>
      </c>
      <c r="B30" s="28" t="s">
        <v>512</v>
      </c>
      <c r="C30" s="28">
        <v>3</v>
      </c>
      <c r="D30" s="28">
        <v>7.5</v>
      </c>
      <c r="E30" s="28">
        <v>10</v>
      </c>
      <c r="F30" s="28">
        <f t="shared" si="0"/>
        <v>69</v>
      </c>
      <c r="G30" s="28">
        <f t="shared" si="1"/>
        <v>78</v>
      </c>
      <c r="H30" s="28" t="s">
        <v>508</v>
      </c>
    </row>
    <row r="31" spans="1:8" x14ac:dyDescent="0.2">
      <c r="A31" s="28">
        <v>30</v>
      </c>
      <c r="B31" s="28" t="s">
        <v>26</v>
      </c>
      <c r="C31" s="28">
        <v>1</v>
      </c>
      <c r="D31" s="28">
        <v>16</v>
      </c>
      <c r="E31" s="28">
        <v>2</v>
      </c>
      <c r="F31" s="28">
        <f t="shared" si="0"/>
        <v>79</v>
      </c>
      <c r="G31" s="28">
        <f t="shared" si="1"/>
        <v>80</v>
      </c>
      <c r="H31" s="28" t="s">
        <v>200</v>
      </c>
    </row>
    <row r="32" spans="1:8" x14ac:dyDescent="0.2">
      <c r="A32" s="28">
        <v>31</v>
      </c>
      <c r="B32" s="28" t="s">
        <v>28</v>
      </c>
      <c r="C32" s="28">
        <v>2</v>
      </c>
      <c r="D32" s="28" t="s">
        <v>29</v>
      </c>
      <c r="E32" s="28">
        <v>10</v>
      </c>
      <c r="F32" s="28">
        <f t="shared" si="0"/>
        <v>81</v>
      </c>
      <c r="G32" s="28">
        <f t="shared" si="1"/>
        <v>90</v>
      </c>
      <c r="H32" s="28" t="s">
        <v>201</v>
      </c>
    </row>
    <row r="33" spans="1:8" x14ac:dyDescent="0.2">
      <c r="A33" s="28">
        <v>32</v>
      </c>
      <c r="B33" s="28" t="s">
        <v>17</v>
      </c>
      <c r="C33" s="28">
        <v>2</v>
      </c>
      <c r="D33" s="28">
        <v>4</v>
      </c>
      <c r="E33" s="28">
        <v>4</v>
      </c>
      <c r="F33" s="28">
        <f t="shared" si="0"/>
        <v>91</v>
      </c>
      <c r="G33" s="28">
        <f t="shared" si="1"/>
        <v>94</v>
      </c>
      <c r="H33" s="28" t="s">
        <v>202</v>
      </c>
    </row>
    <row r="34" spans="1:8" x14ac:dyDescent="0.2">
      <c r="A34" s="28">
        <v>33</v>
      </c>
      <c r="B34" s="28" t="s">
        <v>559</v>
      </c>
      <c r="C34" s="28">
        <v>0</v>
      </c>
      <c r="D34" s="28">
        <v>0</v>
      </c>
      <c r="E34" s="28">
        <v>3</v>
      </c>
      <c r="F34" s="28">
        <f t="shared" si="0"/>
        <v>95</v>
      </c>
      <c r="G34" s="28">
        <f t="shared" si="1"/>
        <v>97</v>
      </c>
      <c r="H34" s="28" t="s">
        <v>204</v>
      </c>
    </row>
    <row r="35" spans="1:8" x14ac:dyDescent="0.2">
      <c r="A35" s="28">
        <v>34</v>
      </c>
      <c r="B35" s="28" t="s">
        <v>540</v>
      </c>
      <c r="C35" s="28">
        <v>0</v>
      </c>
      <c r="D35" s="28">
        <v>0</v>
      </c>
      <c r="E35" s="28">
        <v>10</v>
      </c>
      <c r="F35" s="28">
        <f t="shared" si="0"/>
        <v>98</v>
      </c>
      <c r="G35" s="28">
        <f t="shared" si="1"/>
        <v>107</v>
      </c>
      <c r="H35" s="28" t="s">
        <v>205</v>
      </c>
    </row>
    <row r="36" spans="1:8" x14ac:dyDescent="0.2">
      <c r="A36" s="28">
        <v>35</v>
      </c>
      <c r="B36" s="28" t="s">
        <v>555</v>
      </c>
      <c r="C36" s="28">
        <v>0</v>
      </c>
      <c r="D36" s="28">
        <v>0</v>
      </c>
      <c r="E36" s="28">
        <v>3</v>
      </c>
      <c r="F36" s="28">
        <f t="shared" si="0"/>
        <v>108</v>
      </c>
      <c r="G36" s="28">
        <f t="shared" si="1"/>
        <v>110</v>
      </c>
      <c r="H36" s="28" t="s">
        <v>549</v>
      </c>
    </row>
    <row r="37" spans="1:8" x14ac:dyDescent="0.2">
      <c r="A37" s="28">
        <v>36</v>
      </c>
      <c r="B37" s="28" t="s">
        <v>545</v>
      </c>
      <c r="C37" s="28">
        <v>0</v>
      </c>
      <c r="D37" s="28">
        <v>0</v>
      </c>
      <c r="E37" s="28">
        <v>10</v>
      </c>
      <c r="F37" s="28">
        <f t="shared" si="0"/>
        <v>111</v>
      </c>
      <c r="G37" s="28">
        <f t="shared" si="1"/>
        <v>120</v>
      </c>
      <c r="H37" s="28" t="s">
        <v>541</v>
      </c>
    </row>
    <row r="38" spans="1:8" x14ac:dyDescent="0.2">
      <c r="A38" s="28">
        <v>37</v>
      </c>
      <c r="B38" s="28" t="s">
        <v>547</v>
      </c>
      <c r="C38" s="28">
        <v>0</v>
      </c>
      <c r="D38" s="28">
        <v>0</v>
      </c>
      <c r="E38" s="28">
        <v>4</v>
      </c>
      <c r="F38" s="28">
        <f t="shared" si="0"/>
        <v>121</v>
      </c>
      <c r="G38" s="28">
        <f t="shared" si="1"/>
        <v>124</v>
      </c>
      <c r="H38" s="28" t="s">
        <v>542</v>
      </c>
    </row>
    <row r="39" spans="1:8" x14ac:dyDescent="0.2">
      <c r="A39" s="28">
        <v>38</v>
      </c>
      <c r="B39" s="28" t="s">
        <v>546</v>
      </c>
      <c r="C39" s="28">
        <v>0</v>
      </c>
      <c r="D39" s="28">
        <v>0</v>
      </c>
      <c r="E39" s="28">
        <v>2</v>
      </c>
      <c r="F39" s="28">
        <f t="shared" si="0"/>
        <v>125</v>
      </c>
      <c r="G39" s="28">
        <f t="shared" si="1"/>
        <v>126</v>
      </c>
      <c r="H39" s="28" t="s">
        <v>543</v>
      </c>
    </row>
    <row r="40" spans="1:8" x14ac:dyDescent="0.2">
      <c r="A40" s="28">
        <v>39</v>
      </c>
      <c r="B40" s="28" t="s">
        <v>560</v>
      </c>
      <c r="C40" s="28">
        <v>0</v>
      </c>
      <c r="D40" s="28">
        <v>0</v>
      </c>
      <c r="E40" s="28">
        <v>2</v>
      </c>
      <c r="F40" s="28">
        <f t="shared" si="0"/>
        <v>127</v>
      </c>
      <c r="G40" s="28">
        <f t="shared" si="1"/>
        <v>128</v>
      </c>
      <c r="H40" s="28" t="s">
        <v>562</v>
      </c>
    </row>
    <row r="41" spans="1:8" x14ac:dyDescent="0.2"/>
    <row r="42" spans="1:8" x14ac:dyDescent="0.2"/>
    <row r="43" spans="1:8" x14ac:dyDescent="0.2"/>
    <row r="44" spans="1:8" x14ac:dyDescent="0.2"/>
    <row r="45" spans="1:8" x14ac:dyDescent="0.2"/>
    <row r="46" spans="1:8" x14ac:dyDescent="0.2"/>
    <row r="47" spans="1:8" x14ac:dyDescent="0.2"/>
    <row r="48" spans="1:8" x14ac:dyDescent="0.2"/>
    <row r="49" x14ac:dyDescent="0.2"/>
  </sheetData>
  <autoFilter ref="B1:G40" xr:uid="{E9BA355E-AEBC-4B3F-9313-C0B8F8B9D2BA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A319-2E0E-453C-BBD8-782A35A71F34}">
  <dimension ref="A1:WVP119"/>
  <sheetViews>
    <sheetView tabSelected="1" topLeftCell="A82" workbookViewId="0">
      <selection activeCell="H1" sqref="H1"/>
    </sheetView>
  </sheetViews>
  <sheetFormatPr defaultColWidth="0" defaultRowHeight="15" zeroHeight="1" x14ac:dyDescent="0.25"/>
  <cols>
    <col min="1" max="1" width="6" bestFit="1" customWidth="1"/>
    <col min="2" max="2" width="60.42578125" bestFit="1" customWidth="1"/>
    <col min="3" max="3" width="5.5703125" bestFit="1" customWidth="1"/>
    <col min="4" max="4" width="10" bestFit="1" customWidth="1"/>
    <col min="5" max="5" width="7.28515625" bestFit="1" customWidth="1"/>
    <col min="6" max="7" width="8.140625" bestFit="1" customWidth="1"/>
    <col min="8" max="8" width="10.7109375" bestFit="1" customWidth="1"/>
    <col min="9" max="10" width="9.140625" customWidth="1"/>
    <col min="11" max="256" width="9.140625" hidden="1"/>
    <col min="257" max="257" width="12.28515625" hidden="1"/>
    <col min="258" max="258" width="60.28515625" hidden="1"/>
    <col min="259" max="259" width="6.28515625" hidden="1"/>
    <col min="260" max="260" width="10.7109375" hidden="1"/>
    <col min="261" max="261" width="12.7109375" hidden="1"/>
    <col min="262" max="262" width="20.85546875" hidden="1"/>
    <col min="263" max="263" width="19.7109375" hidden="1"/>
    <col min="264" max="512" width="9.140625" hidden="1"/>
    <col min="513" max="513" width="12.28515625" hidden="1"/>
    <col min="514" max="514" width="60.28515625" hidden="1"/>
    <col min="515" max="515" width="6.28515625" hidden="1"/>
    <col min="516" max="516" width="10.7109375" hidden="1"/>
    <col min="517" max="517" width="12.7109375" hidden="1"/>
    <col min="518" max="518" width="20.85546875" hidden="1"/>
    <col min="519" max="519" width="19.7109375" hidden="1"/>
    <col min="520" max="768" width="9.140625" hidden="1"/>
    <col min="769" max="769" width="12.28515625" hidden="1"/>
    <col min="770" max="770" width="60.28515625" hidden="1"/>
    <col min="771" max="771" width="6.28515625" hidden="1"/>
    <col min="772" max="772" width="10.7109375" hidden="1"/>
    <col min="773" max="773" width="12.7109375" hidden="1"/>
    <col min="774" max="774" width="20.85546875" hidden="1"/>
    <col min="775" max="775" width="19.7109375" hidden="1"/>
    <col min="776" max="1024" width="9.140625" hidden="1"/>
    <col min="1025" max="1025" width="12.28515625" hidden="1"/>
    <col min="1026" max="1026" width="60.28515625" hidden="1"/>
    <col min="1027" max="1027" width="6.28515625" hidden="1"/>
    <col min="1028" max="1028" width="10.7109375" hidden="1"/>
    <col min="1029" max="1029" width="12.7109375" hidden="1"/>
    <col min="1030" max="1030" width="20.85546875" hidden="1"/>
    <col min="1031" max="1031" width="19.7109375" hidden="1"/>
    <col min="1032" max="1280" width="9.140625" hidden="1"/>
    <col min="1281" max="1281" width="12.28515625" hidden="1"/>
    <col min="1282" max="1282" width="60.28515625" hidden="1"/>
    <col min="1283" max="1283" width="6.28515625" hidden="1"/>
    <col min="1284" max="1284" width="10.7109375" hidden="1"/>
    <col min="1285" max="1285" width="12.7109375" hidden="1"/>
    <col min="1286" max="1286" width="20.85546875" hidden="1"/>
    <col min="1287" max="1287" width="19.7109375" hidden="1"/>
    <col min="1288" max="1536" width="9.140625" hidden="1"/>
    <col min="1537" max="1537" width="12.28515625" hidden="1"/>
    <col min="1538" max="1538" width="60.28515625" hidden="1"/>
    <col min="1539" max="1539" width="6.28515625" hidden="1"/>
    <col min="1540" max="1540" width="10.7109375" hidden="1"/>
    <col min="1541" max="1541" width="12.7109375" hidden="1"/>
    <col min="1542" max="1542" width="20.85546875" hidden="1"/>
    <col min="1543" max="1543" width="19.7109375" hidden="1"/>
    <col min="1544" max="1792" width="9.140625" hidden="1"/>
    <col min="1793" max="1793" width="12.28515625" hidden="1"/>
    <col min="1794" max="1794" width="60.28515625" hidden="1"/>
    <col min="1795" max="1795" width="6.28515625" hidden="1"/>
    <col min="1796" max="1796" width="10.7109375" hidden="1"/>
    <col min="1797" max="1797" width="12.7109375" hidden="1"/>
    <col min="1798" max="1798" width="20.85546875" hidden="1"/>
    <col min="1799" max="1799" width="19.7109375" hidden="1"/>
    <col min="1800" max="2048" width="9.140625" hidden="1"/>
    <col min="2049" max="2049" width="12.28515625" hidden="1"/>
    <col min="2050" max="2050" width="60.28515625" hidden="1"/>
    <col min="2051" max="2051" width="6.28515625" hidden="1"/>
    <col min="2052" max="2052" width="10.7109375" hidden="1"/>
    <col min="2053" max="2053" width="12.7109375" hidden="1"/>
    <col min="2054" max="2054" width="20.85546875" hidden="1"/>
    <col min="2055" max="2055" width="19.7109375" hidden="1"/>
    <col min="2056" max="2304" width="9.140625" hidden="1"/>
    <col min="2305" max="2305" width="12.28515625" hidden="1"/>
    <col min="2306" max="2306" width="60.28515625" hidden="1"/>
    <col min="2307" max="2307" width="6.28515625" hidden="1"/>
    <col min="2308" max="2308" width="10.7109375" hidden="1"/>
    <col min="2309" max="2309" width="12.7109375" hidden="1"/>
    <col min="2310" max="2310" width="20.85546875" hidden="1"/>
    <col min="2311" max="2311" width="19.7109375" hidden="1"/>
    <col min="2312" max="2560" width="9.140625" hidden="1"/>
    <col min="2561" max="2561" width="12.28515625" hidden="1"/>
    <col min="2562" max="2562" width="60.28515625" hidden="1"/>
    <col min="2563" max="2563" width="6.28515625" hidden="1"/>
    <col min="2564" max="2564" width="10.7109375" hidden="1"/>
    <col min="2565" max="2565" width="12.7109375" hidden="1"/>
    <col min="2566" max="2566" width="20.85546875" hidden="1"/>
    <col min="2567" max="2567" width="19.7109375" hidden="1"/>
    <col min="2568" max="2816" width="9.140625" hidden="1"/>
    <col min="2817" max="2817" width="12.28515625" hidden="1"/>
    <col min="2818" max="2818" width="60.28515625" hidden="1"/>
    <col min="2819" max="2819" width="6.28515625" hidden="1"/>
    <col min="2820" max="2820" width="10.7109375" hidden="1"/>
    <col min="2821" max="2821" width="12.7109375" hidden="1"/>
    <col min="2822" max="2822" width="20.85546875" hidden="1"/>
    <col min="2823" max="2823" width="19.7109375" hidden="1"/>
    <col min="2824" max="3072" width="9.140625" hidden="1"/>
    <col min="3073" max="3073" width="12.28515625" hidden="1"/>
    <col min="3074" max="3074" width="60.28515625" hidden="1"/>
    <col min="3075" max="3075" width="6.28515625" hidden="1"/>
    <col min="3076" max="3076" width="10.7109375" hidden="1"/>
    <col min="3077" max="3077" width="12.7109375" hidden="1"/>
    <col min="3078" max="3078" width="20.85546875" hidden="1"/>
    <col min="3079" max="3079" width="19.7109375" hidden="1"/>
    <col min="3080" max="3328" width="9.140625" hidden="1"/>
    <col min="3329" max="3329" width="12.28515625" hidden="1"/>
    <col min="3330" max="3330" width="60.28515625" hidden="1"/>
    <col min="3331" max="3331" width="6.28515625" hidden="1"/>
    <col min="3332" max="3332" width="10.7109375" hidden="1"/>
    <col min="3333" max="3333" width="12.7109375" hidden="1"/>
    <col min="3334" max="3334" width="20.85546875" hidden="1"/>
    <col min="3335" max="3335" width="19.7109375" hidden="1"/>
    <col min="3336" max="3584" width="9.140625" hidden="1"/>
    <col min="3585" max="3585" width="12.28515625" hidden="1"/>
    <col min="3586" max="3586" width="60.28515625" hidden="1"/>
    <col min="3587" max="3587" width="6.28515625" hidden="1"/>
    <col min="3588" max="3588" width="10.7109375" hidden="1"/>
    <col min="3589" max="3589" width="12.7109375" hidden="1"/>
    <col min="3590" max="3590" width="20.85546875" hidden="1"/>
    <col min="3591" max="3591" width="19.7109375" hidden="1"/>
    <col min="3592" max="3840" width="9.140625" hidden="1"/>
    <col min="3841" max="3841" width="12.28515625" hidden="1"/>
    <col min="3842" max="3842" width="60.28515625" hidden="1"/>
    <col min="3843" max="3843" width="6.28515625" hidden="1"/>
    <col min="3844" max="3844" width="10.7109375" hidden="1"/>
    <col min="3845" max="3845" width="12.7109375" hidden="1"/>
    <col min="3846" max="3846" width="20.85546875" hidden="1"/>
    <col min="3847" max="3847" width="19.7109375" hidden="1"/>
    <col min="3848" max="4096" width="9.140625" hidden="1"/>
    <col min="4097" max="4097" width="12.28515625" hidden="1"/>
    <col min="4098" max="4098" width="60.28515625" hidden="1"/>
    <col min="4099" max="4099" width="6.28515625" hidden="1"/>
    <col min="4100" max="4100" width="10.7109375" hidden="1"/>
    <col min="4101" max="4101" width="12.7109375" hidden="1"/>
    <col min="4102" max="4102" width="20.85546875" hidden="1"/>
    <col min="4103" max="4103" width="19.7109375" hidden="1"/>
    <col min="4104" max="4352" width="9.140625" hidden="1"/>
    <col min="4353" max="4353" width="12.28515625" hidden="1"/>
    <col min="4354" max="4354" width="60.28515625" hidden="1"/>
    <col min="4355" max="4355" width="6.28515625" hidden="1"/>
    <col min="4356" max="4356" width="10.7109375" hidden="1"/>
    <col min="4357" max="4357" width="12.7109375" hidden="1"/>
    <col min="4358" max="4358" width="20.85546875" hidden="1"/>
    <col min="4359" max="4359" width="19.7109375" hidden="1"/>
    <col min="4360" max="4608" width="9.140625" hidden="1"/>
    <col min="4609" max="4609" width="12.28515625" hidden="1"/>
    <col min="4610" max="4610" width="60.28515625" hidden="1"/>
    <col min="4611" max="4611" width="6.28515625" hidden="1"/>
    <col min="4612" max="4612" width="10.7109375" hidden="1"/>
    <col min="4613" max="4613" width="12.7109375" hidden="1"/>
    <col min="4614" max="4614" width="20.85546875" hidden="1"/>
    <col min="4615" max="4615" width="19.7109375" hidden="1"/>
    <col min="4616" max="4864" width="9.140625" hidden="1"/>
    <col min="4865" max="4865" width="12.28515625" hidden="1"/>
    <col min="4866" max="4866" width="60.28515625" hidden="1"/>
    <col min="4867" max="4867" width="6.28515625" hidden="1"/>
    <col min="4868" max="4868" width="10.7109375" hidden="1"/>
    <col min="4869" max="4869" width="12.7109375" hidden="1"/>
    <col min="4870" max="4870" width="20.85546875" hidden="1"/>
    <col min="4871" max="4871" width="19.7109375" hidden="1"/>
    <col min="4872" max="5120" width="9.140625" hidden="1"/>
    <col min="5121" max="5121" width="12.28515625" hidden="1"/>
    <col min="5122" max="5122" width="60.28515625" hidden="1"/>
    <col min="5123" max="5123" width="6.28515625" hidden="1"/>
    <col min="5124" max="5124" width="10.7109375" hidden="1"/>
    <col min="5125" max="5125" width="12.7109375" hidden="1"/>
    <col min="5126" max="5126" width="20.85546875" hidden="1"/>
    <col min="5127" max="5127" width="19.7109375" hidden="1"/>
    <col min="5128" max="5376" width="9.140625" hidden="1"/>
    <col min="5377" max="5377" width="12.28515625" hidden="1"/>
    <col min="5378" max="5378" width="60.28515625" hidden="1"/>
    <col min="5379" max="5379" width="6.28515625" hidden="1"/>
    <col min="5380" max="5380" width="10.7109375" hidden="1"/>
    <col min="5381" max="5381" width="12.7109375" hidden="1"/>
    <col min="5382" max="5382" width="20.85546875" hidden="1"/>
    <col min="5383" max="5383" width="19.7109375" hidden="1"/>
    <col min="5384" max="5632" width="9.140625" hidden="1"/>
    <col min="5633" max="5633" width="12.28515625" hidden="1"/>
    <col min="5634" max="5634" width="60.28515625" hidden="1"/>
    <col min="5635" max="5635" width="6.28515625" hidden="1"/>
    <col min="5636" max="5636" width="10.7109375" hidden="1"/>
    <col min="5637" max="5637" width="12.7109375" hidden="1"/>
    <col min="5638" max="5638" width="20.85546875" hidden="1"/>
    <col min="5639" max="5639" width="19.7109375" hidden="1"/>
    <col min="5640" max="5888" width="9.140625" hidden="1"/>
    <col min="5889" max="5889" width="12.28515625" hidden="1"/>
    <col min="5890" max="5890" width="60.28515625" hidden="1"/>
    <col min="5891" max="5891" width="6.28515625" hidden="1"/>
    <col min="5892" max="5892" width="10.7109375" hidden="1"/>
    <col min="5893" max="5893" width="12.7109375" hidden="1"/>
    <col min="5894" max="5894" width="20.85546875" hidden="1"/>
    <col min="5895" max="5895" width="19.7109375" hidden="1"/>
    <col min="5896" max="6144" width="9.140625" hidden="1"/>
    <col min="6145" max="6145" width="12.28515625" hidden="1"/>
    <col min="6146" max="6146" width="60.28515625" hidden="1"/>
    <col min="6147" max="6147" width="6.28515625" hidden="1"/>
    <col min="6148" max="6148" width="10.7109375" hidden="1"/>
    <col min="6149" max="6149" width="12.7109375" hidden="1"/>
    <col min="6150" max="6150" width="20.85546875" hidden="1"/>
    <col min="6151" max="6151" width="19.7109375" hidden="1"/>
    <col min="6152" max="6400" width="9.140625" hidden="1"/>
    <col min="6401" max="6401" width="12.28515625" hidden="1"/>
    <col min="6402" max="6402" width="60.28515625" hidden="1"/>
    <col min="6403" max="6403" width="6.28515625" hidden="1"/>
    <col min="6404" max="6404" width="10.7109375" hidden="1"/>
    <col min="6405" max="6405" width="12.7109375" hidden="1"/>
    <col min="6406" max="6406" width="20.85546875" hidden="1"/>
    <col min="6407" max="6407" width="19.7109375" hidden="1"/>
    <col min="6408" max="6656" width="9.140625" hidden="1"/>
    <col min="6657" max="6657" width="12.28515625" hidden="1"/>
    <col min="6658" max="6658" width="60.28515625" hidden="1"/>
    <col min="6659" max="6659" width="6.28515625" hidden="1"/>
    <col min="6660" max="6660" width="10.7109375" hidden="1"/>
    <col min="6661" max="6661" width="12.7109375" hidden="1"/>
    <col min="6662" max="6662" width="20.85546875" hidden="1"/>
    <col min="6663" max="6663" width="19.7109375" hidden="1"/>
    <col min="6664" max="6912" width="9.140625" hidden="1"/>
    <col min="6913" max="6913" width="12.28515625" hidden="1"/>
    <col min="6914" max="6914" width="60.28515625" hidden="1"/>
    <col min="6915" max="6915" width="6.28515625" hidden="1"/>
    <col min="6916" max="6916" width="10.7109375" hidden="1"/>
    <col min="6917" max="6917" width="12.7109375" hidden="1"/>
    <col min="6918" max="6918" width="20.85546875" hidden="1"/>
    <col min="6919" max="6919" width="19.7109375" hidden="1"/>
    <col min="6920" max="7168" width="9.140625" hidden="1"/>
    <col min="7169" max="7169" width="12.28515625" hidden="1"/>
    <col min="7170" max="7170" width="60.28515625" hidden="1"/>
    <col min="7171" max="7171" width="6.28515625" hidden="1"/>
    <col min="7172" max="7172" width="10.7109375" hidden="1"/>
    <col min="7173" max="7173" width="12.7109375" hidden="1"/>
    <col min="7174" max="7174" width="20.85546875" hidden="1"/>
    <col min="7175" max="7175" width="19.7109375" hidden="1"/>
    <col min="7176" max="7424" width="9.140625" hidden="1"/>
    <col min="7425" max="7425" width="12.28515625" hidden="1"/>
    <col min="7426" max="7426" width="60.28515625" hidden="1"/>
    <col min="7427" max="7427" width="6.28515625" hidden="1"/>
    <col min="7428" max="7428" width="10.7109375" hidden="1"/>
    <col min="7429" max="7429" width="12.7109375" hidden="1"/>
    <col min="7430" max="7430" width="20.85546875" hidden="1"/>
    <col min="7431" max="7431" width="19.7109375" hidden="1"/>
    <col min="7432" max="7680" width="9.140625" hidden="1"/>
    <col min="7681" max="7681" width="12.28515625" hidden="1"/>
    <col min="7682" max="7682" width="60.28515625" hidden="1"/>
    <col min="7683" max="7683" width="6.28515625" hidden="1"/>
    <col min="7684" max="7684" width="10.7109375" hidden="1"/>
    <col min="7685" max="7685" width="12.7109375" hidden="1"/>
    <col min="7686" max="7686" width="20.85546875" hidden="1"/>
    <col min="7687" max="7687" width="19.7109375" hidden="1"/>
    <col min="7688" max="7936" width="9.140625" hidden="1"/>
    <col min="7937" max="7937" width="12.28515625" hidden="1"/>
    <col min="7938" max="7938" width="60.28515625" hidden="1"/>
    <col min="7939" max="7939" width="6.28515625" hidden="1"/>
    <col min="7940" max="7940" width="10.7109375" hidden="1"/>
    <col min="7941" max="7941" width="12.7109375" hidden="1"/>
    <col min="7942" max="7942" width="20.85546875" hidden="1"/>
    <col min="7943" max="7943" width="19.7109375" hidden="1"/>
    <col min="7944" max="8192" width="9.140625" hidden="1"/>
    <col min="8193" max="8193" width="12.28515625" hidden="1"/>
    <col min="8194" max="8194" width="60.28515625" hidden="1"/>
    <col min="8195" max="8195" width="6.28515625" hidden="1"/>
    <col min="8196" max="8196" width="10.7109375" hidden="1"/>
    <col min="8197" max="8197" width="12.7109375" hidden="1"/>
    <col min="8198" max="8198" width="20.85546875" hidden="1"/>
    <col min="8199" max="8199" width="19.7109375" hidden="1"/>
    <col min="8200" max="8448" width="9.140625" hidden="1"/>
    <col min="8449" max="8449" width="12.28515625" hidden="1"/>
    <col min="8450" max="8450" width="60.28515625" hidden="1"/>
    <col min="8451" max="8451" width="6.28515625" hidden="1"/>
    <col min="8452" max="8452" width="10.7109375" hidden="1"/>
    <col min="8453" max="8453" width="12.7109375" hidden="1"/>
    <col min="8454" max="8454" width="20.85546875" hidden="1"/>
    <col min="8455" max="8455" width="19.7109375" hidden="1"/>
    <col min="8456" max="8704" width="9.140625" hidden="1"/>
    <col min="8705" max="8705" width="12.28515625" hidden="1"/>
    <col min="8706" max="8706" width="60.28515625" hidden="1"/>
    <col min="8707" max="8707" width="6.28515625" hidden="1"/>
    <col min="8708" max="8708" width="10.7109375" hidden="1"/>
    <col min="8709" max="8709" width="12.7109375" hidden="1"/>
    <col min="8710" max="8710" width="20.85546875" hidden="1"/>
    <col min="8711" max="8711" width="19.7109375" hidden="1"/>
    <col min="8712" max="8960" width="9.140625" hidden="1"/>
    <col min="8961" max="8961" width="12.28515625" hidden="1"/>
    <col min="8962" max="8962" width="60.28515625" hidden="1"/>
    <col min="8963" max="8963" width="6.28515625" hidden="1"/>
    <col min="8964" max="8964" width="10.7109375" hidden="1"/>
    <col min="8965" max="8965" width="12.7109375" hidden="1"/>
    <col min="8966" max="8966" width="20.85546875" hidden="1"/>
    <col min="8967" max="8967" width="19.7109375" hidden="1"/>
    <col min="8968" max="9216" width="9.140625" hidden="1"/>
    <col min="9217" max="9217" width="12.28515625" hidden="1"/>
    <col min="9218" max="9218" width="60.28515625" hidden="1"/>
    <col min="9219" max="9219" width="6.28515625" hidden="1"/>
    <col min="9220" max="9220" width="10.7109375" hidden="1"/>
    <col min="9221" max="9221" width="12.7109375" hidden="1"/>
    <col min="9222" max="9222" width="20.85546875" hidden="1"/>
    <col min="9223" max="9223" width="19.7109375" hidden="1"/>
    <col min="9224" max="9472" width="9.140625" hidden="1"/>
    <col min="9473" max="9473" width="12.28515625" hidden="1"/>
    <col min="9474" max="9474" width="60.28515625" hidden="1"/>
    <col min="9475" max="9475" width="6.28515625" hidden="1"/>
    <col min="9476" max="9476" width="10.7109375" hidden="1"/>
    <col min="9477" max="9477" width="12.7109375" hidden="1"/>
    <col min="9478" max="9478" width="20.85546875" hidden="1"/>
    <col min="9479" max="9479" width="19.7109375" hidden="1"/>
    <col min="9480" max="9728" width="9.140625" hidden="1"/>
    <col min="9729" max="9729" width="12.28515625" hidden="1"/>
    <col min="9730" max="9730" width="60.28515625" hidden="1"/>
    <col min="9731" max="9731" width="6.28515625" hidden="1"/>
    <col min="9732" max="9732" width="10.7109375" hidden="1"/>
    <col min="9733" max="9733" width="12.7109375" hidden="1"/>
    <col min="9734" max="9734" width="20.85546875" hidden="1"/>
    <col min="9735" max="9735" width="19.7109375" hidden="1"/>
    <col min="9736" max="9984" width="9.140625" hidden="1"/>
    <col min="9985" max="9985" width="12.28515625" hidden="1"/>
    <col min="9986" max="9986" width="60.28515625" hidden="1"/>
    <col min="9987" max="9987" width="6.28515625" hidden="1"/>
    <col min="9988" max="9988" width="10.7109375" hidden="1"/>
    <col min="9989" max="9989" width="12.7109375" hidden="1"/>
    <col min="9990" max="9990" width="20.85546875" hidden="1"/>
    <col min="9991" max="9991" width="19.7109375" hidden="1"/>
    <col min="9992" max="10240" width="9.140625" hidden="1"/>
    <col min="10241" max="10241" width="12.28515625" hidden="1"/>
    <col min="10242" max="10242" width="60.28515625" hidden="1"/>
    <col min="10243" max="10243" width="6.28515625" hidden="1"/>
    <col min="10244" max="10244" width="10.7109375" hidden="1"/>
    <col min="10245" max="10245" width="12.7109375" hidden="1"/>
    <col min="10246" max="10246" width="20.85546875" hidden="1"/>
    <col min="10247" max="10247" width="19.7109375" hidden="1"/>
    <col min="10248" max="10496" width="9.140625" hidden="1"/>
    <col min="10497" max="10497" width="12.28515625" hidden="1"/>
    <col min="10498" max="10498" width="60.28515625" hidden="1"/>
    <col min="10499" max="10499" width="6.28515625" hidden="1"/>
    <col min="10500" max="10500" width="10.7109375" hidden="1"/>
    <col min="10501" max="10501" width="12.7109375" hidden="1"/>
    <col min="10502" max="10502" width="20.85546875" hidden="1"/>
    <col min="10503" max="10503" width="19.7109375" hidden="1"/>
    <col min="10504" max="10752" width="9.140625" hidden="1"/>
    <col min="10753" max="10753" width="12.28515625" hidden="1"/>
    <col min="10754" max="10754" width="60.28515625" hidden="1"/>
    <col min="10755" max="10755" width="6.28515625" hidden="1"/>
    <col min="10756" max="10756" width="10.7109375" hidden="1"/>
    <col min="10757" max="10757" width="12.7109375" hidden="1"/>
    <col min="10758" max="10758" width="20.85546875" hidden="1"/>
    <col min="10759" max="10759" width="19.7109375" hidden="1"/>
    <col min="10760" max="11008" width="9.140625" hidden="1"/>
    <col min="11009" max="11009" width="12.28515625" hidden="1"/>
    <col min="11010" max="11010" width="60.28515625" hidden="1"/>
    <col min="11011" max="11011" width="6.28515625" hidden="1"/>
    <col min="11012" max="11012" width="10.7109375" hidden="1"/>
    <col min="11013" max="11013" width="12.7109375" hidden="1"/>
    <col min="11014" max="11014" width="20.85546875" hidden="1"/>
    <col min="11015" max="11015" width="19.7109375" hidden="1"/>
    <col min="11016" max="11264" width="9.140625" hidden="1"/>
    <col min="11265" max="11265" width="12.28515625" hidden="1"/>
    <col min="11266" max="11266" width="60.28515625" hidden="1"/>
    <col min="11267" max="11267" width="6.28515625" hidden="1"/>
    <col min="11268" max="11268" width="10.7109375" hidden="1"/>
    <col min="11269" max="11269" width="12.7109375" hidden="1"/>
    <col min="11270" max="11270" width="20.85546875" hidden="1"/>
    <col min="11271" max="11271" width="19.7109375" hidden="1"/>
    <col min="11272" max="11520" width="9.140625" hidden="1"/>
    <col min="11521" max="11521" width="12.28515625" hidden="1"/>
    <col min="11522" max="11522" width="60.28515625" hidden="1"/>
    <col min="11523" max="11523" width="6.28515625" hidden="1"/>
    <col min="11524" max="11524" width="10.7109375" hidden="1"/>
    <col min="11525" max="11525" width="12.7109375" hidden="1"/>
    <col min="11526" max="11526" width="20.85546875" hidden="1"/>
    <col min="11527" max="11527" width="19.7109375" hidden="1"/>
    <col min="11528" max="11776" width="9.140625" hidden="1"/>
    <col min="11777" max="11777" width="12.28515625" hidden="1"/>
    <col min="11778" max="11778" width="60.28515625" hidden="1"/>
    <col min="11779" max="11779" width="6.28515625" hidden="1"/>
    <col min="11780" max="11780" width="10.7109375" hidden="1"/>
    <col min="11781" max="11781" width="12.7109375" hidden="1"/>
    <col min="11782" max="11782" width="20.85546875" hidden="1"/>
    <col min="11783" max="11783" width="19.7109375" hidden="1"/>
    <col min="11784" max="12032" width="9.140625" hidden="1"/>
    <col min="12033" max="12033" width="12.28515625" hidden="1"/>
    <col min="12034" max="12034" width="60.28515625" hidden="1"/>
    <col min="12035" max="12035" width="6.28515625" hidden="1"/>
    <col min="12036" max="12036" width="10.7109375" hidden="1"/>
    <col min="12037" max="12037" width="12.7109375" hidden="1"/>
    <col min="12038" max="12038" width="20.85546875" hidden="1"/>
    <col min="12039" max="12039" width="19.7109375" hidden="1"/>
    <col min="12040" max="12288" width="9.140625" hidden="1"/>
    <col min="12289" max="12289" width="12.28515625" hidden="1"/>
    <col min="12290" max="12290" width="60.28515625" hidden="1"/>
    <col min="12291" max="12291" width="6.28515625" hidden="1"/>
    <col min="12292" max="12292" width="10.7109375" hidden="1"/>
    <col min="12293" max="12293" width="12.7109375" hidden="1"/>
    <col min="12294" max="12294" width="20.85546875" hidden="1"/>
    <col min="12295" max="12295" width="19.7109375" hidden="1"/>
    <col min="12296" max="12544" width="9.140625" hidden="1"/>
    <col min="12545" max="12545" width="12.28515625" hidden="1"/>
    <col min="12546" max="12546" width="60.28515625" hidden="1"/>
    <col min="12547" max="12547" width="6.28515625" hidden="1"/>
    <col min="12548" max="12548" width="10.7109375" hidden="1"/>
    <col min="12549" max="12549" width="12.7109375" hidden="1"/>
    <col min="12550" max="12550" width="20.85546875" hidden="1"/>
    <col min="12551" max="12551" width="19.7109375" hidden="1"/>
    <col min="12552" max="12800" width="9.140625" hidden="1"/>
    <col min="12801" max="12801" width="12.28515625" hidden="1"/>
    <col min="12802" max="12802" width="60.28515625" hidden="1"/>
    <col min="12803" max="12803" width="6.28515625" hidden="1"/>
    <col min="12804" max="12804" width="10.7109375" hidden="1"/>
    <col min="12805" max="12805" width="12.7109375" hidden="1"/>
    <col min="12806" max="12806" width="20.85546875" hidden="1"/>
    <col min="12807" max="12807" width="19.7109375" hidden="1"/>
    <col min="12808" max="13056" width="9.140625" hidden="1"/>
    <col min="13057" max="13057" width="12.28515625" hidden="1"/>
    <col min="13058" max="13058" width="60.28515625" hidden="1"/>
    <col min="13059" max="13059" width="6.28515625" hidden="1"/>
    <col min="13060" max="13060" width="10.7109375" hidden="1"/>
    <col min="13061" max="13061" width="12.7109375" hidden="1"/>
    <col min="13062" max="13062" width="20.85546875" hidden="1"/>
    <col min="13063" max="13063" width="19.7109375" hidden="1"/>
    <col min="13064" max="13312" width="9.140625" hidden="1"/>
    <col min="13313" max="13313" width="12.28515625" hidden="1"/>
    <col min="13314" max="13314" width="60.28515625" hidden="1"/>
    <col min="13315" max="13315" width="6.28515625" hidden="1"/>
    <col min="13316" max="13316" width="10.7109375" hidden="1"/>
    <col min="13317" max="13317" width="12.7109375" hidden="1"/>
    <col min="13318" max="13318" width="20.85546875" hidden="1"/>
    <col min="13319" max="13319" width="19.7109375" hidden="1"/>
    <col min="13320" max="13568" width="9.140625" hidden="1"/>
    <col min="13569" max="13569" width="12.28515625" hidden="1"/>
    <col min="13570" max="13570" width="60.28515625" hidden="1"/>
    <col min="13571" max="13571" width="6.28515625" hidden="1"/>
    <col min="13572" max="13572" width="10.7109375" hidden="1"/>
    <col min="13573" max="13573" width="12.7109375" hidden="1"/>
    <col min="13574" max="13574" width="20.85546875" hidden="1"/>
    <col min="13575" max="13575" width="19.7109375" hidden="1"/>
    <col min="13576" max="13824" width="9.140625" hidden="1"/>
    <col min="13825" max="13825" width="12.28515625" hidden="1"/>
    <col min="13826" max="13826" width="60.28515625" hidden="1"/>
    <col min="13827" max="13827" width="6.28515625" hidden="1"/>
    <col min="13828" max="13828" width="10.7109375" hidden="1"/>
    <col min="13829" max="13829" width="12.7109375" hidden="1"/>
    <col min="13830" max="13830" width="20.85546875" hidden="1"/>
    <col min="13831" max="13831" width="19.7109375" hidden="1"/>
    <col min="13832" max="14080" width="9.140625" hidden="1"/>
    <col min="14081" max="14081" width="12.28515625" hidden="1"/>
    <col min="14082" max="14082" width="60.28515625" hidden="1"/>
    <col min="14083" max="14083" width="6.28515625" hidden="1"/>
    <col min="14084" max="14084" width="10.7109375" hidden="1"/>
    <col min="14085" max="14085" width="12.7109375" hidden="1"/>
    <col min="14086" max="14086" width="20.85546875" hidden="1"/>
    <col min="14087" max="14087" width="19.7109375" hidden="1"/>
    <col min="14088" max="14336" width="9.140625" hidden="1"/>
    <col min="14337" max="14337" width="12.28515625" hidden="1"/>
    <col min="14338" max="14338" width="60.28515625" hidden="1"/>
    <col min="14339" max="14339" width="6.28515625" hidden="1"/>
    <col min="14340" max="14340" width="10.7109375" hidden="1"/>
    <col min="14341" max="14341" width="12.7109375" hidden="1"/>
    <col min="14342" max="14342" width="20.85546875" hidden="1"/>
    <col min="14343" max="14343" width="19.7109375" hidden="1"/>
    <col min="14344" max="14592" width="9.140625" hidden="1"/>
    <col min="14593" max="14593" width="12.28515625" hidden="1"/>
    <col min="14594" max="14594" width="60.28515625" hidden="1"/>
    <col min="14595" max="14595" width="6.28515625" hidden="1"/>
    <col min="14596" max="14596" width="10.7109375" hidden="1"/>
    <col min="14597" max="14597" width="12.7109375" hidden="1"/>
    <col min="14598" max="14598" width="20.85546875" hidden="1"/>
    <col min="14599" max="14599" width="19.7109375" hidden="1"/>
    <col min="14600" max="14848" width="9.140625" hidden="1"/>
    <col min="14849" max="14849" width="12.28515625" hidden="1"/>
    <col min="14850" max="14850" width="60.28515625" hidden="1"/>
    <col min="14851" max="14851" width="6.28515625" hidden="1"/>
    <col min="14852" max="14852" width="10.7109375" hidden="1"/>
    <col min="14853" max="14853" width="12.7109375" hidden="1"/>
    <col min="14854" max="14854" width="20.85546875" hidden="1"/>
    <col min="14855" max="14855" width="19.7109375" hidden="1"/>
    <col min="14856" max="15104" width="9.140625" hidden="1"/>
    <col min="15105" max="15105" width="12.28515625" hidden="1"/>
    <col min="15106" max="15106" width="60.28515625" hidden="1"/>
    <col min="15107" max="15107" width="6.28515625" hidden="1"/>
    <col min="15108" max="15108" width="10.7109375" hidden="1"/>
    <col min="15109" max="15109" width="12.7109375" hidden="1"/>
    <col min="15110" max="15110" width="20.85546875" hidden="1"/>
    <col min="15111" max="15111" width="19.7109375" hidden="1"/>
    <col min="15112" max="15360" width="9.140625" hidden="1"/>
    <col min="15361" max="15361" width="12.28515625" hidden="1"/>
    <col min="15362" max="15362" width="60.28515625" hidden="1"/>
    <col min="15363" max="15363" width="6.28515625" hidden="1"/>
    <col min="15364" max="15364" width="10.7109375" hidden="1"/>
    <col min="15365" max="15365" width="12.7109375" hidden="1"/>
    <col min="15366" max="15366" width="20.85546875" hidden="1"/>
    <col min="15367" max="15367" width="19.7109375" hidden="1"/>
    <col min="15368" max="15616" width="9.140625" hidden="1"/>
    <col min="15617" max="15617" width="12.28515625" hidden="1"/>
    <col min="15618" max="15618" width="60.28515625" hidden="1"/>
    <col min="15619" max="15619" width="6.28515625" hidden="1"/>
    <col min="15620" max="15620" width="10.7109375" hidden="1"/>
    <col min="15621" max="15621" width="12.7109375" hidden="1"/>
    <col min="15622" max="15622" width="20.85546875" hidden="1"/>
    <col min="15623" max="15623" width="19.7109375" hidden="1"/>
    <col min="15624" max="15872" width="9.140625" hidden="1"/>
    <col min="15873" max="15873" width="12.28515625" hidden="1"/>
    <col min="15874" max="15874" width="60.28515625" hidden="1"/>
    <col min="15875" max="15875" width="6.28515625" hidden="1"/>
    <col min="15876" max="15876" width="10.7109375" hidden="1"/>
    <col min="15877" max="15877" width="12.7109375" hidden="1"/>
    <col min="15878" max="15878" width="20.85546875" hidden="1"/>
    <col min="15879" max="15879" width="19.7109375" hidden="1"/>
    <col min="15880" max="16128" width="9.140625" hidden="1"/>
    <col min="16129" max="16129" width="12.28515625" hidden="1"/>
    <col min="16130" max="16130" width="60.28515625" hidden="1"/>
    <col min="16131" max="16131" width="6.28515625" hidden="1"/>
    <col min="16132" max="16132" width="10.7109375" hidden="1"/>
    <col min="16133" max="16133" width="12.7109375" hidden="1"/>
    <col min="16134" max="16134" width="20.85546875" hidden="1"/>
    <col min="16135" max="16136" width="19.7109375" hidden="1"/>
    <col min="16137" max="16384" width="9.140625" hidden="1"/>
  </cols>
  <sheetData>
    <row r="1" spans="1:8" s="55" customFormat="1" ht="33.75" x14ac:dyDescent="0.25">
      <c r="A1" s="52" t="s">
        <v>563</v>
      </c>
      <c r="B1" s="52" t="s">
        <v>1</v>
      </c>
      <c r="C1" s="53" t="s">
        <v>2</v>
      </c>
      <c r="D1" s="53" t="s">
        <v>159</v>
      </c>
      <c r="E1" s="53" t="s">
        <v>3</v>
      </c>
      <c r="F1" s="54" t="s">
        <v>550</v>
      </c>
      <c r="G1" s="54" t="s">
        <v>551</v>
      </c>
      <c r="H1" s="54" t="s">
        <v>174</v>
      </c>
    </row>
    <row r="2" spans="1:8" x14ac:dyDescent="0.25">
      <c r="A2" s="51">
        <v>1</v>
      </c>
      <c r="B2" s="51" t="s">
        <v>150</v>
      </c>
      <c r="C2" s="51">
        <v>0</v>
      </c>
      <c r="D2" s="51">
        <v>0</v>
      </c>
      <c r="E2" s="51">
        <v>5</v>
      </c>
      <c r="F2" s="51">
        <f>1</f>
        <v>1</v>
      </c>
      <c r="G2" s="51">
        <f>F2+E2-1</f>
        <v>5</v>
      </c>
      <c r="H2" s="51" t="s">
        <v>175</v>
      </c>
    </row>
    <row r="3" spans="1:8" x14ac:dyDescent="0.25">
      <c r="A3" s="51">
        <v>2</v>
      </c>
      <c r="B3" s="51" t="s">
        <v>23</v>
      </c>
      <c r="C3" s="51">
        <v>1</v>
      </c>
      <c r="D3" s="51">
        <v>2</v>
      </c>
      <c r="E3" s="51">
        <v>3</v>
      </c>
      <c r="F3" s="51">
        <f>G2+1</f>
        <v>6</v>
      </c>
      <c r="G3" s="51">
        <f>F3+E3-1</f>
        <v>8</v>
      </c>
      <c r="H3" s="51" t="s">
        <v>176</v>
      </c>
    </row>
    <row r="4" spans="1:8" x14ac:dyDescent="0.25">
      <c r="A4" s="51">
        <v>3</v>
      </c>
      <c r="B4" s="51" t="s">
        <v>5</v>
      </c>
      <c r="C4" s="51">
        <v>0</v>
      </c>
      <c r="D4" s="51">
        <v>0</v>
      </c>
      <c r="E4" s="51">
        <v>2</v>
      </c>
      <c r="F4" s="51">
        <f t="shared" ref="F4:F67" si="0">G3+1</f>
        <v>9</v>
      </c>
      <c r="G4" s="51">
        <f t="shared" ref="G4:G67" si="1">F4+E4-1</f>
        <v>10</v>
      </c>
      <c r="H4" s="51" t="s">
        <v>177</v>
      </c>
    </row>
    <row r="5" spans="1:8" x14ac:dyDescent="0.25">
      <c r="A5" s="51">
        <v>4</v>
      </c>
      <c r="B5" s="51" t="s">
        <v>509</v>
      </c>
      <c r="C5" s="51">
        <v>0</v>
      </c>
      <c r="D5" s="51">
        <v>0</v>
      </c>
      <c r="E5" s="51">
        <v>2</v>
      </c>
      <c r="F5" s="51">
        <f t="shared" si="0"/>
        <v>11</v>
      </c>
      <c r="G5" s="51">
        <f t="shared" si="1"/>
        <v>12</v>
      </c>
      <c r="H5" s="51" t="s">
        <v>510</v>
      </c>
    </row>
    <row r="6" spans="1:8" x14ac:dyDescent="0.25">
      <c r="A6" s="51">
        <v>5</v>
      </c>
      <c r="B6" s="51" t="s">
        <v>6</v>
      </c>
      <c r="C6" s="51">
        <v>0</v>
      </c>
      <c r="D6" s="51">
        <v>0</v>
      </c>
      <c r="E6" s="51">
        <v>2</v>
      </c>
      <c r="F6" s="51">
        <f t="shared" si="0"/>
        <v>13</v>
      </c>
      <c r="G6" s="51">
        <f t="shared" si="1"/>
        <v>14</v>
      </c>
      <c r="H6" s="51" t="s">
        <v>178</v>
      </c>
    </row>
    <row r="7" spans="1:8" x14ac:dyDescent="0.25">
      <c r="A7" s="51">
        <v>6</v>
      </c>
      <c r="B7" s="51" t="s">
        <v>7</v>
      </c>
      <c r="C7" s="51">
        <v>1</v>
      </c>
      <c r="D7" s="51">
        <v>3</v>
      </c>
      <c r="E7" s="51">
        <v>1</v>
      </c>
      <c r="F7" s="51">
        <f t="shared" si="0"/>
        <v>15</v>
      </c>
      <c r="G7" s="51">
        <f t="shared" si="1"/>
        <v>15</v>
      </c>
      <c r="H7" s="51" t="s">
        <v>179</v>
      </c>
    </row>
    <row r="8" spans="1:8" x14ac:dyDescent="0.25">
      <c r="A8" s="51">
        <v>7</v>
      </c>
      <c r="B8" s="51" t="s">
        <v>11</v>
      </c>
      <c r="C8" s="51">
        <v>0</v>
      </c>
      <c r="D8" s="51">
        <v>0</v>
      </c>
      <c r="E8" s="51">
        <v>2</v>
      </c>
      <c r="F8" s="51">
        <f t="shared" si="0"/>
        <v>16</v>
      </c>
      <c r="G8" s="51">
        <f t="shared" si="1"/>
        <v>17</v>
      </c>
      <c r="H8" s="51" t="s">
        <v>180</v>
      </c>
    </row>
    <row r="9" spans="1:8" x14ac:dyDescent="0.25">
      <c r="A9" s="51">
        <v>8</v>
      </c>
      <c r="B9" s="51" t="s">
        <v>160</v>
      </c>
      <c r="C9" s="51">
        <v>1</v>
      </c>
      <c r="D9" s="51">
        <v>4</v>
      </c>
      <c r="E9" s="51">
        <v>2</v>
      </c>
      <c r="F9" s="51">
        <f t="shared" si="0"/>
        <v>18</v>
      </c>
      <c r="G9" s="51">
        <f t="shared" si="1"/>
        <v>19</v>
      </c>
      <c r="H9" s="51" t="s">
        <v>181</v>
      </c>
    </row>
    <row r="10" spans="1:8" x14ac:dyDescent="0.25">
      <c r="A10" s="51">
        <v>9</v>
      </c>
      <c r="B10" s="51" t="s">
        <v>31</v>
      </c>
      <c r="C10" s="51">
        <v>1</v>
      </c>
      <c r="D10" s="51">
        <v>4</v>
      </c>
      <c r="E10" s="51">
        <v>3</v>
      </c>
      <c r="F10" s="51">
        <f t="shared" si="0"/>
        <v>20</v>
      </c>
      <c r="G10" s="51">
        <f t="shared" si="1"/>
        <v>22</v>
      </c>
      <c r="H10" s="51" t="s">
        <v>182</v>
      </c>
    </row>
    <row r="11" spans="1:8" x14ac:dyDescent="0.25">
      <c r="A11" s="51">
        <v>10</v>
      </c>
      <c r="B11" s="51" t="s">
        <v>548</v>
      </c>
      <c r="C11" s="51">
        <v>0</v>
      </c>
      <c r="D11" s="51">
        <v>0</v>
      </c>
      <c r="E11" s="51">
        <v>4</v>
      </c>
      <c r="F11" s="51">
        <f t="shared" si="0"/>
        <v>23</v>
      </c>
      <c r="G11" s="51">
        <f t="shared" si="1"/>
        <v>26</v>
      </c>
      <c r="H11" s="51" t="s">
        <v>544</v>
      </c>
    </row>
    <row r="12" spans="1:8" x14ac:dyDescent="0.25">
      <c r="A12" s="51">
        <v>11</v>
      </c>
      <c r="B12" s="51" t="s">
        <v>12</v>
      </c>
      <c r="C12" s="51">
        <v>1</v>
      </c>
      <c r="D12" s="51">
        <v>5</v>
      </c>
      <c r="E12" s="51">
        <v>3</v>
      </c>
      <c r="F12" s="51">
        <f t="shared" si="0"/>
        <v>27</v>
      </c>
      <c r="G12" s="51">
        <f t="shared" si="1"/>
        <v>29</v>
      </c>
      <c r="H12" s="51" t="s">
        <v>183</v>
      </c>
    </row>
    <row r="13" spans="1:8" x14ac:dyDescent="0.25">
      <c r="A13" s="51">
        <v>12</v>
      </c>
      <c r="B13" s="51" t="s">
        <v>552</v>
      </c>
      <c r="C13" s="51">
        <v>0</v>
      </c>
      <c r="D13" s="51">
        <v>0</v>
      </c>
      <c r="E13" s="51">
        <v>1</v>
      </c>
      <c r="F13" s="51">
        <f t="shared" si="0"/>
        <v>30</v>
      </c>
      <c r="G13" s="51">
        <f t="shared" si="1"/>
        <v>30</v>
      </c>
      <c r="H13" s="51" t="s">
        <v>553</v>
      </c>
    </row>
    <row r="14" spans="1:8" x14ac:dyDescent="0.25">
      <c r="A14" s="51">
        <v>13</v>
      </c>
      <c r="B14" s="51" t="s">
        <v>13</v>
      </c>
      <c r="C14" s="51">
        <v>1</v>
      </c>
      <c r="D14" s="51">
        <v>6</v>
      </c>
      <c r="E14" s="51">
        <v>2</v>
      </c>
      <c r="F14" s="51">
        <f t="shared" si="0"/>
        <v>31</v>
      </c>
      <c r="G14" s="51">
        <f t="shared" si="1"/>
        <v>32</v>
      </c>
      <c r="H14" s="51" t="s">
        <v>184</v>
      </c>
    </row>
    <row r="15" spans="1:8" x14ac:dyDescent="0.25">
      <c r="A15" s="51">
        <v>14</v>
      </c>
      <c r="B15" s="51" t="s">
        <v>15</v>
      </c>
      <c r="C15" s="51">
        <v>1</v>
      </c>
      <c r="D15" s="51">
        <v>12</v>
      </c>
      <c r="E15" s="51">
        <v>4</v>
      </c>
      <c r="F15" s="51">
        <f t="shared" si="0"/>
        <v>33</v>
      </c>
      <c r="G15" s="51">
        <f t="shared" si="1"/>
        <v>36</v>
      </c>
      <c r="H15" s="51" t="s">
        <v>186</v>
      </c>
    </row>
    <row r="16" spans="1:8" x14ac:dyDescent="0.25">
      <c r="A16" s="51">
        <v>15</v>
      </c>
      <c r="B16" s="51" t="s">
        <v>151</v>
      </c>
      <c r="C16" s="51">
        <v>1</v>
      </c>
      <c r="D16" s="51">
        <v>1</v>
      </c>
      <c r="E16" s="51">
        <v>5</v>
      </c>
      <c r="F16" s="51">
        <f t="shared" si="0"/>
        <v>37</v>
      </c>
      <c r="G16" s="51">
        <f t="shared" si="1"/>
        <v>41</v>
      </c>
      <c r="H16" s="51" t="s">
        <v>187</v>
      </c>
    </row>
    <row r="17" spans="1:8" x14ac:dyDescent="0.25">
      <c r="A17" s="51">
        <v>16</v>
      </c>
      <c r="B17" s="51" t="s">
        <v>9</v>
      </c>
      <c r="C17" s="51">
        <v>1</v>
      </c>
      <c r="D17" s="51">
        <v>14</v>
      </c>
      <c r="E17" s="51">
        <v>1</v>
      </c>
      <c r="F17" s="51">
        <f t="shared" si="0"/>
        <v>42</v>
      </c>
      <c r="G17" s="51">
        <f t="shared" si="1"/>
        <v>42</v>
      </c>
      <c r="H17" s="51" t="s">
        <v>189</v>
      </c>
    </row>
    <row r="18" spans="1:8" x14ac:dyDescent="0.25">
      <c r="A18" s="51">
        <v>17</v>
      </c>
      <c r="B18" s="51" t="s">
        <v>10</v>
      </c>
      <c r="C18" s="51">
        <v>1</v>
      </c>
      <c r="D18" s="51">
        <v>15</v>
      </c>
      <c r="E18" s="51">
        <v>2</v>
      </c>
      <c r="F18" s="51">
        <f t="shared" si="0"/>
        <v>43</v>
      </c>
      <c r="G18" s="51">
        <f t="shared" si="1"/>
        <v>44</v>
      </c>
      <c r="H18" s="51" t="s">
        <v>190</v>
      </c>
    </row>
    <row r="19" spans="1:8" x14ac:dyDescent="0.25">
      <c r="A19" s="51">
        <v>18</v>
      </c>
      <c r="B19" s="51" t="s">
        <v>32</v>
      </c>
      <c r="C19" s="51">
        <v>4</v>
      </c>
      <c r="D19" s="51">
        <v>1</v>
      </c>
      <c r="E19" s="51">
        <v>2</v>
      </c>
      <c r="F19" s="51">
        <f t="shared" si="0"/>
        <v>45</v>
      </c>
      <c r="G19" s="51">
        <f t="shared" si="1"/>
        <v>46</v>
      </c>
      <c r="H19" s="51" t="s">
        <v>207</v>
      </c>
    </row>
    <row r="20" spans="1:8" x14ac:dyDescent="0.25">
      <c r="A20" s="51">
        <v>19</v>
      </c>
      <c r="B20" s="51" t="s">
        <v>33</v>
      </c>
      <c r="C20" s="51">
        <v>4</v>
      </c>
      <c r="D20" s="51">
        <v>4</v>
      </c>
      <c r="E20" s="51">
        <v>1</v>
      </c>
      <c r="F20" s="51">
        <f t="shared" si="0"/>
        <v>47</v>
      </c>
      <c r="G20" s="51">
        <f t="shared" si="1"/>
        <v>47</v>
      </c>
      <c r="H20" s="51" t="s">
        <v>208</v>
      </c>
    </row>
    <row r="21" spans="1:8" x14ac:dyDescent="0.25">
      <c r="A21" s="51">
        <v>20</v>
      </c>
      <c r="B21" s="51" t="s">
        <v>209</v>
      </c>
      <c r="C21" s="51">
        <v>4</v>
      </c>
      <c r="D21" s="51">
        <v>5</v>
      </c>
      <c r="E21" s="51">
        <v>1</v>
      </c>
      <c r="F21" s="51">
        <f t="shared" si="0"/>
        <v>48</v>
      </c>
      <c r="G21" s="51">
        <f t="shared" si="1"/>
        <v>48</v>
      </c>
      <c r="H21" s="51" t="s">
        <v>210</v>
      </c>
    </row>
    <row r="22" spans="1:8" x14ac:dyDescent="0.25">
      <c r="A22" s="51">
        <v>21</v>
      </c>
      <c r="B22" s="51" t="s">
        <v>34</v>
      </c>
      <c r="C22" s="51">
        <v>4</v>
      </c>
      <c r="D22" s="51">
        <v>6</v>
      </c>
      <c r="E22" s="51">
        <v>3</v>
      </c>
      <c r="F22" s="51">
        <f t="shared" si="0"/>
        <v>49</v>
      </c>
      <c r="G22" s="51">
        <f t="shared" si="1"/>
        <v>51</v>
      </c>
      <c r="H22" s="51" t="s">
        <v>211</v>
      </c>
    </row>
    <row r="23" spans="1:8" x14ac:dyDescent="0.25">
      <c r="A23" s="51">
        <v>22</v>
      </c>
      <c r="B23" s="51" t="s">
        <v>35</v>
      </c>
      <c r="C23" s="51">
        <v>4</v>
      </c>
      <c r="D23" s="51">
        <v>7</v>
      </c>
      <c r="E23" s="51">
        <v>1</v>
      </c>
      <c r="F23" s="51">
        <f t="shared" si="0"/>
        <v>52</v>
      </c>
      <c r="G23" s="51">
        <f t="shared" si="1"/>
        <v>52</v>
      </c>
      <c r="H23" s="51" t="s">
        <v>212</v>
      </c>
    </row>
    <row r="24" spans="1:8" x14ac:dyDescent="0.25">
      <c r="A24" s="51">
        <v>23</v>
      </c>
      <c r="B24" s="51" t="s">
        <v>36</v>
      </c>
      <c r="C24" s="51">
        <v>4</v>
      </c>
      <c r="D24" s="51">
        <v>8</v>
      </c>
      <c r="E24" s="51">
        <v>2</v>
      </c>
      <c r="F24" s="51">
        <f t="shared" si="0"/>
        <v>53</v>
      </c>
      <c r="G24" s="51">
        <f t="shared" si="1"/>
        <v>54</v>
      </c>
      <c r="H24" s="51" t="s">
        <v>213</v>
      </c>
    </row>
    <row r="25" spans="1:8" x14ac:dyDescent="0.25">
      <c r="A25" s="51">
        <v>24</v>
      </c>
      <c r="B25" s="51" t="s">
        <v>37</v>
      </c>
      <c r="C25" s="51">
        <v>4</v>
      </c>
      <c r="D25" s="51">
        <v>9</v>
      </c>
      <c r="E25" s="51">
        <v>2</v>
      </c>
      <c r="F25" s="51">
        <f t="shared" si="0"/>
        <v>55</v>
      </c>
      <c r="G25" s="51">
        <f t="shared" si="1"/>
        <v>56</v>
      </c>
      <c r="H25" s="51" t="s">
        <v>214</v>
      </c>
    </row>
    <row r="26" spans="1:8" x14ac:dyDescent="0.25">
      <c r="A26" s="51">
        <v>25</v>
      </c>
      <c r="B26" s="51" t="s">
        <v>61</v>
      </c>
      <c r="C26" s="51">
        <v>6</v>
      </c>
      <c r="D26" s="51" t="s">
        <v>69</v>
      </c>
      <c r="E26" s="51">
        <v>2</v>
      </c>
      <c r="F26" s="51">
        <f t="shared" si="0"/>
        <v>57</v>
      </c>
      <c r="G26" s="51">
        <f t="shared" si="1"/>
        <v>58</v>
      </c>
      <c r="H26" s="51" t="s">
        <v>252</v>
      </c>
    </row>
    <row r="27" spans="1:8" x14ac:dyDescent="0.25">
      <c r="A27" s="51">
        <v>26</v>
      </c>
      <c r="B27" s="51" t="s">
        <v>157</v>
      </c>
      <c r="C27" s="51">
        <v>6</v>
      </c>
      <c r="D27" s="51" t="s">
        <v>70</v>
      </c>
      <c r="E27" s="51">
        <v>2</v>
      </c>
      <c r="F27" s="51">
        <f t="shared" si="0"/>
        <v>59</v>
      </c>
      <c r="G27" s="51">
        <f t="shared" si="1"/>
        <v>60</v>
      </c>
      <c r="H27" s="51" t="s">
        <v>253</v>
      </c>
    </row>
    <row r="28" spans="1:8" x14ac:dyDescent="0.25">
      <c r="A28" s="51">
        <v>27</v>
      </c>
      <c r="B28" s="51" t="s">
        <v>74</v>
      </c>
      <c r="C28" s="51">
        <v>6</v>
      </c>
      <c r="D28" s="51" t="s">
        <v>63</v>
      </c>
      <c r="E28" s="51">
        <v>2</v>
      </c>
      <c r="F28" s="51">
        <f t="shared" si="0"/>
        <v>61</v>
      </c>
      <c r="G28" s="51">
        <f t="shared" si="1"/>
        <v>62</v>
      </c>
      <c r="H28" s="51" t="s">
        <v>254</v>
      </c>
    </row>
    <row r="29" spans="1:8" x14ac:dyDescent="0.25">
      <c r="A29" s="51">
        <v>28</v>
      </c>
      <c r="B29" s="51" t="s">
        <v>73</v>
      </c>
      <c r="C29" s="51">
        <v>6</v>
      </c>
      <c r="D29" s="51" t="s">
        <v>66</v>
      </c>
      <c r="E29" s="51">
        <v>5</v>
      </c>
      <c r="F29" s="51">
        <f t="shared" si="0"/>
        <v>63</v>
      </c>
      <c r="G29" s="51">
        <f t="shared" si="1"/>
        <v>67</v>
      </c>
      <c r="H29" s="51" t="s">
        <v>255</v>
      </c>
    </row>
    <row r="30" spans="1:8" x14ac:dyDescent="0.25">
      <c r="A30" s="51">
        <v>29</v>
      </c>
      <c r="B30" s="51" t="s">
        <v>62</v>
      </c>
      <c r="C30" s="51">
        <v>6</v>
      </c>
      <c r="D30" s="51" t="s">
        <v>69</v>
      </c>
      <c r="E30" s="51">
        <v>2</v>
      </c>
      <c r="F30" s="51">
        <f t="shared" si="0"/>
        <v>68</v>
      </c>
      <c r="G30" s="51">
        <f t="shared" si="1"/>
        <v>69</v>
      </c>
      <c r="H30" s="51" t="s">
        <v>256</v>
      </c>
    </row>
    <row r="31" spans="1:8" x14ac:dyDescent="0.25">
      <c r="A31" s="51">
        <v>30</v>
      </c>
      <c r="B31" s="51" t="s">
        <v>158</v>
      </c>
      <c r="C31" s="51">
        <v>6</v>
      </c>
      <c r="D31" s="51" t="s">
        <v>70</v>
      </c>
      <c r="E31" s="51">
        <v>2</v>
      </c>
      <c r="F31" s="51">
        <f t="shared" si="0"/>
        <v>70</v>
      </c>
      <c r="G31" s="51">
        <f t="shared" si="1"/>
        <v>71</v>
      </c>
      <c r="H31" s="51" t="s">
        <v>257</v>
      </c>
    </row>
    <row r="32" spans="1:8" x14ac:dyDescent="0.25">
      <c r="A32" s="51">
        <v>31</v>
      </c>
      <c r="B32" s="51" t="s">
        <v>87</v>
      </c>
      <c r="C32" s="51">
        <v>6</v>
      </c>
      <c r="D32" s="51" t="s">
        <v>63</v>
      </c>
      <c r="E32" s="51">
        <v>2</v>
      </c>
      <c r="F32" s="51">
        <f t="shared" si="0"/>
        <v>72</v>
      </c>
      <c r="G32" s="51">
        <f t="shared" si="1"/>
        <v>73</v>
      </c>
      <c r="H32" s="51" t="s">
        <v>258</v>
      </c>
    </row>
    <row r="33" spans="1:8" x14ac:dyDescent="0.25">
      <c r="A33" s="51">
        <v>32</v>
      </c>
      <c r="B33" s="51" t="s">
        <v>72</v>
      </c>
      <c r="C33" s="51">
        <v>6</v>
      </c>
      <c r="D33" s="51" t="s">
        <v>66</v>
      </c>
      <c r="E33" s="51">
        <v>5</v>
      </c>
      <c r="F33" s="51">
        <f t="shared" si="0"/>
        <v>74</v>
      </c>
      <c r="G33" s="51">
        <f t="shared" si="1"/>
        <v>78</v>
      </c>
      <c r="H33" s="51" t="s">
        <v>259</v>
      </c>
    </row>
    <row r="34" spans="1:8" x14ac:dyDescent="0.25">
      <c r="A34" s="51">
        <v>33</v>
      </c>
      <c r="B34" s="51" t="s">
        <v>71</v>
      </c>
      <c r="C34" s="51">
        <v>6</v>
      </c>
      <c r="D34" s="51" t="s">
        <v>76</v>
      </c>
      <c r="E34" s="51">
        <v>2</v>
      </c>
      <c r="F34" s="51">
        <f t="shared" si="0"/>
        <v>79</v>
      </c>
      <c r="G34" s="51">
        <f t="shared" si="1"/>
        <v>80</v>
      </c>
      <c r="H34" s="51" t="s">
        <v>260</v>
      </c>
    </row>
    <row r="35" spans="1:8" x14ac:dyDescent="0.25">
      <c r="A35" s="51">
        <v>34</v>
      </c>
      <c r="B35" s="51" t="s">
        <v>75</v>
      </c>
      <c r="C35" s="51">
        <v>6</v>
      </c>
      <c r="D35" s="51" t="s">
        <v>77</v>
      </c>
      <c r="E35" s="51">
        <v>2</v>
      </c>
      <c r="F35" s="51">
        <f t="shared" si="0"/>
        <v>81</v>
      </c>
      <c r="G35" s="51">
        <f t="shared" si="1"/>
        <v>82</v>
      </c>
      <c r="H35" s="51" t="s">
        <v>261</v>
      </c>
    </row>
    <row r="36" spans="1:8" x14ac:dyDescent="0.25">
      <c r="A36" s="51">
        <v>35</v>
      </c>
      <c r="B36" s="51" t="s">
        <v>61</v>
      </c>
      <c r="C36" s="51">
        <v>6</v>
      </c>
      <c r="D36" s="51" t="s">
        <v>79</v>
      </c>
      <c r="E36" s="51">
        <v>2</v>
      </c>
      <c r="F36" s="51">
        <f t="shared" si="0"/>
        <v>83</v>
      </c>
      <c r="G36" s="51">
        <f t="shared" si="1"/>
        <v>84</v>
      </c>
      <c r="H36" s="51" t="s">
        <v>262</v>
      </c>
    </row>
    <row r="37" spans="1:8" x14ac:dyDescent="0.25">
      <c r="A37" s="51">
        <v>36</v>
      </c>
      <c r="B37" s="51" t="s">
        <v>157</v>
      </c>
      <c r="C37" s="51">
        <v>6</v>
      </c>
      <c r="D37" s="51" t="s">
        <v>80</v>
      </c>
      <c r="E37" s="51">
        <v>2</v>
      </c>
      <c r="F37" s="51">
        <f t="shared" si="0"/>
        <v>85</v>
      </c>
      <c r="G37" s="51">
        <f t="shared" si="1"/>
        <v>86</v>
      </c>
      <c r="H37" s="51" t="s">
        <v>263</v>
      </c>
    </row>
    <row r="38" spans="1:8" x14ac:dyDescent="0.25">
      <c r="A38" s="51">
        <v>37</v>
      </c>
      <c r="B38" s="51" t="s">
        <v>82</v>
      </c>
      <c r="C38" s="51">
        <v>6</v>
      </c>
      <c r="D38" s="51" t="s">
        <v>64</v>
      </c>
      <c r="E38" s="51">
        <v>2</v>
      </c>
      <c r="F38" s="51">
        <f t="shared" si="0"/>
        <v>87</v>
      </c>
      <c r="G38" s="51">
        <f t="shared" si="1"/>
        <v>88</v>
      </c>
      <c r="H38" s="51" t="s">
        <v>264</v>
      </c>
    </row>
    <row r="39" spans="1:8" x14ac:dyDescent="0.25">
      <c r="A39" s="51">
        <v>38</v>
      </c>
      <c r="B39" s="51" t="s">
        <v>73</v>
      </c>
      <c r="C39" s="51">
        <v>6</v>
      </c>
      <c r="D39" s="51" t="s">
        <v>65</v>
      </c>
      <c r="E39" s="51">
        <v>5</v>
      </c>
      <c r="F39" s="51">
        <f t="shared" si="0"/>
        <v>89</v>
      </c>
      <c r="G39" s="51">
        <f t="shared" si="1"/>
        <v>93</v>
      </c>
      <c r="H39" s="51" t="s">
        <v>265</v>
      </c>
    </row>
    <row r="40" spans="1:8" x14ac:dyDescent="0.25">
      <c r="A40" s="51">
        <v>39</v>
      </c>
      <c r="B40" s="51" t="s">
        <v>62</v>
      </c>
      <c r="C40" s="51">
        <v>6</v>
      </c>
      <c r="D40" s="51" t="s">
        <v>79</v>
      </c>
      <c r="E40" s="51">
        <v>2</v>
      </c>
      <c r="F40" s="51">
        <f t="shared" si="0"/>
        <v>94</v>
      </c>
      <c r="G40" s="51">
        <f t="shared" si="1"/>
        <v>95</v>
      </c>
      <c r="H40" s="51" t="s">
        <v>266</v>
      </c>
    </row>
    <row r="41" spans="1:8" x14ac:dyDescent="0.25">
      <c r="A41" s="51">
        <v>40</v>
      </c>
      <c r="B41" s="51" t="s">
        <v>158</v>
      </c>
      <c r="C41" s="51">
        <v>6</v>
      </c>
      <c r="D41" s="51" t="s">
        <v>80</v>
      </c>
      <c r="E41" s="51">
        <v>2</v>
      </c>
      <c r="F41" s="51">
        <f t="shared" si="0"/>
        <v>96</v>
      </c>
      <c r="G41" s="51">
        <f t="shared" si="1"/>
        <v>97</v>
      </c>
      <c r="H41" s="51" t="s">
        <v>267</v>
      </c>
    </row>
    <row r="42" spans="1:8" x14ac:dyDescent="0.25">
      <c r="A42" s="51">
        <v>41</v>
      </c>
      <c r="B42" s="51" t="s">
        <v>83</v>
      </c>
      <c r="C42" s="51">
        <v>6</v>
      </c>
      <c r="D42" s="51" t="s">
        <v>64</v>
      </c>
      <c r="E42" s="51">
        <v>2</v>
      </c>
      <c r="F42" s="51">
        <f t="shared" si="0"/>
        <v>98</v>
      </c>
      <c r="G42" s="51">
        <f t="shared" si="1"/>
        <v>99</v>
      </c>
      <c r="H42" s="51" t="s">
        <v>268</v>
      </c>
    </row>
    <row r="43" spans="1:8" x14ac:dyDescent="0.25">
      <c r="A43" s="51">
        <v>42</v>
      </c>
      <c r="B43" s="51" t="s">
        <v>84</v>
      </c>
      <c r="C43" s="51">
        <v>6</v>
      </c>
      <c r="D43" s="51" t="s">
        <v>65</v>
      </c>
      <c r="E43" s="51">
        <v>5</v>
      </c>
      <c r="F43" s="51">
        <f t="shared" si="0"/>
        <v>100</v>
      </c>
      <c r="G43" s="51">
        <f t="shared" si="1"/>
        <v>104</v>
      </c>
      <c r="H43" s="51" t="s">
        <v>269</v>
      </c>
    </row>
    <row r="44" spans="1:8" x14ac:dyDescent="0.25">
      <c r="A44" s="51">
        <v>43</v>
      </c>
      <c r="B44" s="51" t="s">
        <v>85</v>
      </c>
      <c r="C44" s="51">
        <v>6</v>
      </c>
      <c r="D44" s="51" t="s">
        <v>81</v>
      </c>
      <c r="E44" s="51">
        <v>2</v>
      </c>
      <c r="F44" s="51">
        <f t="shared" si="0"/>
        <v>105</v>
      </c>
      <c r="G44" s="51">
        <f t="shared" si="1"/>
        <v>106</v>
      </c>
      <c r="H44" s="51" t="s">
        <v>270</v>
      </c>
    </row>
    <row r="45" spans="1:8" x14ac:dyDescent="0.25">
      <c r="A45" s="51">
        <v>44</v>
      </c>
      <c r="B45" s="51" t="s">
        <v>86</v>
      </c>
      <c r="C45" s="51">
        <v>6</v>
      </c>
      <c r="D45" s="51" t="s">
        <v>78</v>
      </c>
      <c r="E45" s="51">
        <v>2</v>
      </c>
      <c r="F45" s="51">
        <f t="shared" si="0"/>
        <v>107</v>
      </c>
      <c r="G45" s="51">
        <f t="shared" si="1"/>
        <v>108</v>
      </c>
      <c r="H45" s="51" t="s">
        <v>271</v>
      </c>
    </row>
    <row r="46" spans="1:8" x14ac:dyDescent="0.25">
      <c r="A46" s="51">
        <v>45</v>
      </c>
      <c r="B46" s="51" t="s">
        <v>61</v>
      </c>
      <c r="C46" s="51">
        <v>6</v>
      </c>
      <c r="D46" s="51" t="s">
        <v>88</v>
      </c>
      <c r="E46" s="51">
        <v>2</v>
      </c>
      <c r="F46" s="51">
        <f t="shared" si="0"/>
        <v>109</v>
      </c>
      <c r="G46" s="51">
        <f t="shared" si="1"/>
        <v>110</v>
      </c>
      <c r="H46" s="51" t="s">
        <v>272</v>
      </c>
    </row>
    <row r="47" spans="1:8" x14ac:dyDescent="0.25">
      <c r="A47" s="51">
        <v>46</v>
      </c>
      <c r="B47" s="51" t="s">
        <v>157</v>
      </c>
      <c r="C47" s="51">
        <v>6</v>
      </c>
      <c r="D47" s="51" t="s">
        <v>89</v>
      </c>
      <c r="E47" s="51">
        <v>2</v>
      </c>
      <c r="F47" s="51">
        <f t="shared" si="0"/>
        <v>111</v>
      </c>
      <c r="G47" s="51">
        <f t="shared" si="1"/>
        <v>112</v>
      </c>
      <c r="H47" s="51" t="s">
        <v>273</v>
      </c>
    </row>
    <row r="48" spans="1:8" x14ac:dyDescent="0.25">
      <c r="A48" s="51">
        <v>47</v>
      </c>
      <c r="B48" s="51" t="s">
        <v>94</v>
      </c>
      <c r="C48" s="51">
        <v>6</v>
      </c>
      <c r="D48" s="51" t="s">
        <v>90</v>
      </c>
      <c r="E48" s="51">
        <v>2</v>
      </c>
      <c r="F48" s="51">
        <f t="shared" si="0"/>
        <v>113</v>
      </c>
      <c r="G48" s="51">
        <f t="shared" si="1"/>
        <v>114</v>
      </c>
      <c r="H48" s="51" t="s">
        <v>274</v>
      </c>
    </row>
    <row r="49" spans="1:8" x14ac:dyDescent="0.25">
      <c r="A49" s="51">
        <v>48</v>
      </c>
      <c r="B49" s="51" t="s">
        <v>95</v>
      </c>
      <c r="C49" s="51">
        <v>6</v>
      </c>
      <c r="D49" s="51" t="s">
        <v>91</v>
      </c>
      <c r="E49" s="51">
        <v>5</v>
      </c>
      <c r="F49" s="51">
        <f t="shared" si="0"/>
        <v>115</v>
      </c>
      <c r="G49" s="51">
        <f t="shared" si="1"/>
        <v>119</v>
      </c>
      <c r="H49" s="51" t="s">
        <v>275</v>
      </c>
    </row>
    <row r="50" spans="1:8" x14ac:dyDescent="0.25">
      <c r="A50" s="51">
        <v>49</v>
      </c>
      <c r="B50" s="51" t="s">
        <v>62</v>
      </c>
      <c r="C50" s="51">
        <v>6</v>
      </c>
      <c r="D50" s="51" t="s">
        <v>88</v>
      </c>
      <c r="E50" s="51">
        <v>2</v>
      </c>
      <c r="F50" s="51">
        <f t="shared" si="0"/>
        <v>120</v>
      </c>
      <c r="G50" s="51">
        <f t="shared" si="1"/>
        <v>121</v>
      </c>
      <c r="H50" s="51" t="s">
        <v>276</v>
      </c>
    </row>
    <row r="51" spans="1:8" x14ac:dyDescent="0.25">
      <c r="A51" s="51">
        <v>50</v>
      </c>
      <c r="B51" s="51" t="s">
        <v>158</v>
      </c>
      <c r="C51" s="51">
        <v>6</v>
      </c>
      <c r="D51" s="51" t="s">
        <v>89</v>
      </c>
      <c r="E51" s="51">
        <v>2</v>
      </c>
      <c r="F51" s="51">
        <f t="shared" si="0"/>
        <v>122</v>
      </c>
      <c r="G51" s="51">
        <f t="shared" si="1"/>
        <v>123</v>
      </c>
      <c r="H51" s="51" t="s">
        <v>277</v>
      </c>
    </row>
    <row r="52" spans="1:8" x14ac:dyDescent="0.25">
      <c r="A52" s="51">
        <v>51</v>
      </c>
      <c r="B52" s="51" t="s">
        <v>96</v>
      </c>
      <c r="C52" s="51">
        <v>6</v>
      </c>
      <c r="D52" s="51" t="s">
        <v>90</v>
      </c>
      <c r="E52" s="51">
        <v>2</v>
      </c>
      <c r="F52" s="51">
        <f t="shared" si="0"/>
        <v>124</v>
      </c>
      <c r="G52" s="51">
        <f t="shared" si="1"/>
        <v>125</v>
      </c>
      <c r="H52" s="51" t="s">
        <v>278</v>
      </c>
    </row>
    <row r="53" spans="1:8" x14ac:dyDescent="0.25">
      <c r="A53" s="51">
        <v>52</v>
      </c>
      <c r="B53" s="51" t="s">
        <v>97</v>
      </c>
      <c r="C53" s="51">
        <v>6</v>
      </c>
      <c r="D53" s="51" t="s">
        <v>91</v>
      </c>
      <c r="E53" s="51">
        <v>5</v>
      </c>
      <c r="F53" s="51">
        <f t="shared" si="0"/>
        <v>126</v>
      </c>
      <c r="G53" s="51">
        <f t="shared" si="1"/>
        <v>130</v>
      </c>
      <c r="H53" s="51" t="s">
        <v>279</v>
      </c>
    </row>
    <row r="54" spans="1:8" x14ac:dyDescent="0.25">
      <c r="A54" s="51">
        <v>53</v>
      </c>
      <c r="B54" s="51" t="s">
        <v>98</v>
      </c>
      <c r="C54" s="51">
        <v>6</v>
      </c>
      <c r="D54" s="51" t="s">
        <v>92</v>
      </c>
      <c r="E54" s="51">
        <v>2</v>
      </c>
      <c r="F54" s="51">
        <f t="shared" si="0"/>
        <v>131</v>
      </c>
      <c r="G54" s="51">
        <f t="shared" si="1"/>
        <v>132</v>
      </c>
      <c r="H54" s="51" t="s">
        <v>280</v>
      </c>
    </row>
    <row r="55" spans="1:8" x14ac:dyDescent="0.25">
      <c r="A55" s="51">
        <v>54</v>
      </c>
      <c r="B55" s="51" t="s">
        <v>99</v>
      </c>
      <c r="C55" s="51">
        <v>6</v>
      </c>
      <c r="D55" s="51" t="s">
        <v>93</v>
      </c>
      <c r="E55" s="51">
        <v>2</v>
      </c>
      <c r="F55" s="51">
        <f t="shared" si="0"/>
        <v>133</v>
      </c>
      <c r="G55" s="51">
        <f t="shared" si="1"/>
        <v>134</v>
      </c>
      <c r="H55" s="51" t="s">
        <v>281</v>
      </c>
    </row>
    <row r="56" spans="1:8" x14ac:dyDescent="0.25">
      <c r="A56" s="51">
        <v>55</v>
      </c>
      <c r="B56" s="51" t="s">
        <v>61</v>
      </c>
      <c r="C56" s="51">
        <v>6</v>
      </c>
      <c r="D56" s="51" t="s">
        <v>100</v>
      </c>
      <c r="E56" s="51">
        <v>2</v>
      </c>
      <c r="F56" s="51">
        <f t="shared" si="0"/>
        <v>135</v>
      </c>
      <c r="G56" s="51">
        <f t="shared" si="1"/>
        <v>136</v>
      </c>
      <c r="H56" s="51" t="s">
        <v>282</v>
      </c>
    </row>
    <row r="57" spans="1:8" x14ac:dyDescent="0.25">
      <c r="A57" s="51">
        <v>56</v>
      </c>
      <c r="B57" s="51" t="s">
        <v>157</v>
      </c>
      <c r="C57" s="51">
        <v>6</v>
      </c>
      <c r="D57" s="51" t="s">
        <v>101</v>
      </c>
      <c r="E57" s="51">
        <v>2</v>
      </c>
      <c r="F57" s="51">
        <f t="shared" si="0"/>
        <v>137</v>
      </c>
      <c r="G57" s="51">
        <f t="shared" si="1"/>
        <v>138</v>
      </c>
      <c r="H57" s="51" t="s">
        <v>283</v>
      </c>
    </row>
    <row r="58" spans="1:8" x14ac:dyDescent="0.25">
      <c r="A58" s="51">
        <v>57</v>
      </c>
      <c r="B58" s="51" t="s">
        <v>106</v>
      </c>
      <c r="C58" s="51">
        <v>6</v>
      </c>
      <c r="D58" s="51" t="s">
        <v>102</v>
      </c>
      <c r="E58" s="51">
        <v>2</v>
      </c>
      <c r="F58" s="51">
        <f t="shared" si="0"/>
        <v>139</v>
      </c>
      <c r="G58" s="51">
        <f t="shared" si="1"/>
        <v>140</v>
      </c>
      <c r="H58" s="51" t="s">
        <v>284</v>
      </c>
    </row>
    <row r="59" spans="1:8" x14ac:dyDescent="0.25">
      <c r="A59" s="51">
        <v>58</v>
      </c>
      <c r="B59" s="51" t="s">
        <v>108</v>
      </c>
      <c r="C59" s="51">
        <v>6</v>
      </c>
      <c r="D59" s="51" t="s">
        <v>103</v>
      </c>
      <c r="E59" s="51">
        <v>5</v>
      </c>
      <c r="F59" s="51">
        <f t="shared" si="0"/>
        <v>141</v>
      </c>
      <c r="G59" s="51">
        <f t="shared" si="1"/>
        <v>145</v>
      </c>
      <c r="H59" s="51" t="s">
        <v>285</v>
      </c>
    </row>
    <row r="60" spans="1:8" x14ac:dyDescent="0.25">
      <c r="A60" s="51">
        <v>59</v>
      </c>
      <c r="B60" s="51" t="s">
        <v>62</v>
      </c>
      <c r="C60" s="51">
        <v>6</v>
      </c>
      <c r="D60" s="51" t="s">
        <v>100</v>
      </c>
      <c r="E60" s="51">
        <v>2</v>
      </c>
      <c r="F60" s="51">
        <f t="shared" si="0"/>
        <v>146</v>
      </c>
      <c r="G60" s="51">
        <f t="shared" si="1"/>
        <v>147</v>
      </c>
      <c r="H60" s="51" t="s">
        <v>286</v>
      </c>
    </row>
    <row r="61" spans="1:8" x14ac:dyDescent="0.25">
      <c r="A61" s="51">
        <v>60</v>
      </c>
      <c r="B61" s="51" t="s">
        <v>158</v>
      </c>
      <c r="C61" s="51">
        <v>6</v>
      </c>
      <c r="D61" s="51" t="s">
        <v>101</v>
      </c>
      <c r="E61" s="51">
        <v>2</v>
      </c>
      <c r="F61" s="51">
        <f t="shared" si="0"/>
        <v>148</v>
      </c>
      <c r="G61" s="51">
        <f t="shared" si="1"/>
        <v>149</v>
      </c>
      <c r="H61" s="51" t="s">
        <v>287</v>
      </c>
    </row>
    <row r="62" spans="1:8" x14ac:dyDescent="0.25">
      <c r="A62" s="51">
        <v>61</v>
      </c>
      <c r="B62" s="51" t="s">
        <v>107</v>
      </c>
      <c r="C62" s="51">
        <v>6</v>
      </c>
      <c r="D62" s="51" t="s">
        <v>102</v>
      </c>
      <c r="E62" s="51">
        <v>2</v>
      </c>
      <c r="F62" s="51">
        <f t="shared" si="0"/>
        <v>150</v>
      </c>
      <c r="G62" s="51">
        <f t="shared" si="1"/>
        <v>151</v>
      </c>
      <c r="H62" s="51" t="s">
        <v>288</v>
      </c>
    </row>
    <row r="63" spans="1:8" x14ac:dyDescent="0.25">
      <c r="A63" s="51">
        <v>62</v>
      </c>
      <c r="B63" s="51" t="s">
        <v>109</v>
      </c>
      <c r="C63" s="51">
        <v>6</v>
      </c>
      <c r="D63" s="51" t="s">
        <v>103</v>
      </c>
      <c r="E63" s="51">
        <v>5</v>
      </c>
      <c r="F63" s="51">
        <f t="shared" si="0"/>
        <v>152</v>
      </c>
      <c r="G63" s="51">
        <f t="shared" si="1"/>
        <v>156</v>
      </c>
      <c r="H63" s="51" t="s">
        <v>289</v>
      </c>
    </row>
    <row r="64" spans="1:8" x14ac:dyDescent="0.25">
      <c r="A64" s="51">
        <v>63</v>
      </c>
      <c r="B64" s="51" t="s">
        <v>110</v>
      </c>
      <c r="C64" s="51">
        <v>6</v>
      </c>
      <c r="D64" s="51" t="s">
        <v>104</v>
      </c>
      <c r="E64" s="51">
        <v>2</v>
      </c>
      <c r="F64" s="51">
        <f t="shared" si="0"/>
        <v>157</v>
      </c>
      <c r="G64" s="51">
        <f t="shared" si="1"/>
        <v>158</v>
      </c>
      <c r="H64" s="51" t="s">
        <v>290</v>
      </c>
    </row>
    <row r="65" spans="1:8" x14ac:dyDescent="0.25">
      <c r="A65" s="51">
        <v>64</v>
      </c>
      <c r="B65" s="51" t="s">
        <v>111</v>
      </c>
      <c r="C65" s="51">
        <v>6</v>
      </c>
      <c r="D65" s="51" t="s">
        <v>105</v>
      </c>
      <c r="E65" s="51">
        <v>2</v>
      </c>
      <c r="F65" s="51">
        <f t="shared" si="0"/>
        <v>159</v>
      </c>
      <c r="G65" s="51">
        <f t="shared" si="1"/>
        <v>160</v>
      </c>
      <c r="H65" s="51" t="s">
        <v>291</v>
      </c>
    </row>
    <row r="66" spans="1:8" x14ac:dyDescent="0.25">
      <c r="A66" s="51">
        <v>65</v>
      </c>
      <c r="B66" s="51" t="s">
        <v>61</v>
      </c>
      <c r="C66" s="51">
        <v>6</v>
      </c>
      <c r="D66" s="51" t="s">
        <v>112</v>
      </c>
      <c r="E66" s="51">
        <v>2</v>
      </c>
      <c r="F66" s="51">
        <f t="shared" si="0"/>
        <v>161</v>
      </c>
      <c r="G66" s="51">
        <f t="shared" si="1"/>
        <v>162</v>
      </c>
      <c r="H66" s="51" t="s">
        <v>292</v>
      </c>
    </row>
    <row r="67" spans="1:8" x14ac:dyDescent="0.25">
      <c r="A67" s="51">
        <v>66</v>
      </c>
      <c r="B67" s="51" t="s">
        <v>157</v>
      </c>
      <c r="C67" s="51">
        <v>6</v>
      </c>
      <c r="D67" s="51" t="s">
        <v>113</v>
      </c>
      <c r="E67" s="51">
        <v>2</v>
      </c>
      <c r="F67" s="51">
        <f t="shared" si="0"/>
        <v>163</v>
      </c>
      <c r="G67" s="51">
        <f t="shared" si="1"/>
        <v>164</v>
      </c>
      <c r="H67" s="51" t="s">
        <v>293</v>
      </c>
    </row>
    <row r="68" spans="1:8" x14ac:dyDescent="0.25">
      <c r="A68" s="51">
        <v>67</v>
      </c>
      <c r="B68" s="51" t="s">
        <v>118</v>
      </c>
      <c r="C68" s="51">
        <v>6</v>
      </c>
      <c r="D68" s="51" t="s">
        <v>114</v>
      </c>
      <c r="E68" s="51">
        <v>2</v>
      </c>
      <c r="F68" s="51">
        <f t="shared" ref="F68:F109" si="2">G67+1</f>
        <v>165</v>
      </c>
      <c r="G68" s="51">
        <f t="shared" ref="G68:G109" si="3">F68+E68-1</f>
        <v>166</v>
      </c>
      <c r="H68" s="51" t="s">
        <v>294</v>
      </c>
    </row>
    <row r="69" spans="1:8" x14ac:dyDescent="0.25">
      <c r="A69" s="51">
        <v>68</v>
      </c>
      <c r="B69" s="51" t="s">
        <v>119</v>
      </c>
      <c r="C69" s="51">
        <v>6</v>
      </c>
      <c r="D69" s="51" t="s">
        <v>115</v>
      </c>
      <c r="E69" s="51">
        <v>5</v>
      </c>
      <c r="F69" s="51">
        <f t="shared" si="2"/>
        <v>167</v>
      </c>
      <c r="G69" s="51">
        <f t="shared" si="3"/>
        <v>171</v>
      </c>
      <c r="H69" s="51" t="s">
        <v>295</v>
      </c>
    </row>
    <row r="70" spans="1:8" x14ac:dyDescent="0.25">
      <c r="A70" s="51">
        <v>69</v>
      </c>
      <c r="B70" s="51" t="s">
        <v>62</v>
      </c>
      <c r="C70" s="51">
        <v>6</v>
      </c>
      <c r="D70" s="51" t="s">
        <v>112</v>
      </c>
      <c r="E70" s="51">
        <v>2</v>
      </c>
      <c r="F70" s="51">
        <f t="shared" si="2"/>
        <v>172</v>
      </c>
      <c r="G70" s="51">
        <f t="shared" si="3"/>
        <v>173</v>
      </c>
      <c r="H70" s="51" t="s">
        <v>296</v>
      </c>
    </row>
    <row r="71" spans="1:8" x14ac:dyDescent="0.25">
      <c r="A71" s="51">
        <v>70</v>
      </c>
      <c r="B71" s="51" t="s">
        <v>158</v>
      </c>
      <c r="C71" s="51">
        <v>6</v>
      </c>
      <c r="D71" s="51" t="s">
        <v>113</v>
      </c>
      <c r="E71" s="51">
        <v>2</v>
      </c>
      <c r="F71" s="51">
        <f t="shared" si="2"/>
        <v>174</v>
      </c>
      <c r="G71" s="51">
        <f t="shared" si="3"/>
        <v>175</v>
      </c>
      <c r="H71" s="51" t="s">
        <v>297</v>
      </c>
    </row>
    <row r="72" spans="1:8" x14ac:dyDescent="0.25">
      <c r="A72" s="51">
        <v>71</v>
      </c>
      <c r="B72" s="51" t="s">
        <v>120</v>
      </c>
      <c r="C72" s="51">
        <v>6</v>
      </c>
      <c r="D72" s="51" t="s">
        <v>114</v>
      </c>
      <c r="E72" s="51">
        <v>2</v>
      </c>
      <c r="F72" s="51">
        <f t="shared" si="2"/>
        <v>176</v>
      </c>
      <c r="G72" s="51">
        <f t="shared" si="3"/>
        <v>177</v>
      </c>
      <c r="H72" s="51" t="s">
        <v>298</v>
      </c>
    </row>
    <row r="73" spans="1:8" x14ac:dyDescent="0.25">
      <c r="A73" s="51">
        <v>72</v>
      </c>
      <c r="B73" s="51" t="s">
        <v>121</v>
      </c>
      <c r="C73" s="51">
        <v>6</v>
      </c>
      <c r="D73" s="51" t="s">
        <v>115</v>
      </c>
      <c r="E73" s="51">
        <v>5</v>
      </c>
      <c r="F73" s="51">
        <f t="shared" si="2"/>
        <v>178</v>
      </c>
      <c r="G73" s="51">
        <f t="shared" si="3"/>
        <v>182</v>
      </c>
      <c r="H73" s="51" t="s">
        <v>299</v>
      </c>
    </row>
    <row r="74" spans="1:8" x14ac:dyDescent="0.25">
      <c r="A74" s="51">
        <v>73</v>
      </c>
      <c r="B74" s="51" t="s">
        <v>122</v>
      </c>
      <c r="C74" s="51">
        <v>6</v>
      </c>
      <c r="D74" s="51" t="s">
        <v>116</v>
      </c>
      <c r="E74" s="51">
        <v>2</v>
      </c>
      <c r="F74" s="51">
        <f t="shared" si="2"/>
        <v>183</v>
      </c>
      <c r="G74" s="51">
        <f t="shared" si="3"/>
        <v>184</v>
      </c>
      <c r="H74" s="51" t="s">
        <v>300</v>
      </c>
    </row>
    <row r="75" spans="1:8" x14ac:dyDescent="0.25">
      <c r="A75" s="51">
        <v>74</v>
      </c>
      <c r="B75" s="51" t="s">
        <v>123</v>
      </c>
      <c r="C75" s="51">
        <v>6</v>
      </c>
      <c r="D75" s="51" t="s">
        <v>117</v>
      </c>
      <c r="E75" s="51">
        <v>2</v>
      </c>
      <c r="F75" s="51">
        <f t="shared" si="2"/>
        <v>185</v>
      </c>
      <c r="G75" s="51">
        <f t="shared" si="3"/>
        <v>186</v>
      </c>
      <c r="H75" s="51" t="s">
        <v>301</v>
      </c>
    </row>
    <row r="76" spans="1:8" x14ac:dyDescent="0.25">
      <c r="A76" s="51">
        <v>75</v>
      </c>
      <c r="B76" s="51" t="s">
        <v>61</v>
      </c>
      <c r="C76" s="51">
        <v>6</v>
      </c>
      <c r="D76" s="51" t="s">
        <v>130</v>
      </c>
      <c r="E76" s="51">
        <v>2</v>
      </c>
      <c r="F76" s="51">
        <f t="shared" si="2"/>
        <v>187</v>
      </c>
      <c r="G76" s="51">
        <f t="shared" si="3"/>
        <v>188</v>
      </c>
      <c r="H76" s="51" t="s">
        <v>302</v>
      </c>
    </row>
    <row r="77" spans="1:8" x14ac:dyDescent="0.25">
      <c r="A77" s="51">
        <v>76</v>
      </c>
      <c r="B77" s="51" t="s">
        <v>157</v>
      </c>
      <c r="C77" s="51">
        <v>6</v>
      </c>
      <c r="D77" s="51" t="s">
        <v>131</v>
      </c>
      <c r="E77" s="51">
        <v>2</v>
      </c>
      <c r="F77" s="51">
        <f t="shared" si="2"/>
        <v>189</v>
      </c>
      <c r="G77" s="51">
        <f t="shared" si="3"/>
        <v>190</v>
      </c>
      <c r="H77" s="51" t="s">
        <v>303</v>
      </c>
    </row>
    <row r="78" spans="1:8" x14ac:dyDescent="0.25">
      <c r="A78" s="51">
        <v>77</v>
      </c>
      <c r="B78" s="51" t="s">
        <v>124</v>
      </c>
      <c r="C78" s="51">
        <v>6</v>
      </c>
      <c r="D78" s="51" t="s">
        <v>132</v>
      </c>
      <c r="E78" s="51">
        <v>2</v>
      </c>
      <c r="F78" s="51">
        <f t="shared" si="2"/>
        <v>191</v>
      </c>
      <c r="G78" s="51">
        <f t="shared" si="3"/>
        <v>192</v>
      </c>
      <c r="H78" s="51" t="s">
        <v>304</v>
      </c>
    </row>
    <row r="79" spans="1:8" x14ac:dyDescent="0.25">
      <c r="A79" s="51">
        <v>78</v>
      </c>
      <c r="B79" s="51" t="s">
        <v>125</v>
      </c>
      <c r="C79" s="51">
        <v>6</v>
      </c>
      <c r="D79" s="51" t="s">
        <v>68</v>
      </c>
      <c r="E79" s="51">
        <v>5</v>
      </c>
      <c r="F79" s="51">
        <f t="shared" si="2"/>
        <v>193</v>
      </c>
      <c r="G79" s="51">
        <f t="shared" si="3"/>
        <v>197</v>
      </c>
      <c r="H79" s="51" t="s">
        <v>305</v>
      </c>
    </row>
    <row r="80" spans="1:8" x14ac:dyDescent="0.25">
      <c r="A80" s="51">
        <v>79</v>
      </c>
      <c r="B80" s="51" t="s">
        <v>62</v>
      </c>
      <c r="C80" s="51">
        <v>6</v>
      </c>
      <c r="D80" s="51" t="s">
        <v>130</v>
      </c>
      <c r="E80" s="51">
        <v>2</v>
      </c>
      <c r="F80" s="51">
        <f t="shared" si="2"/>
        <v>198</v>
      </c>
      <c r="G80" s="51">
        <f t="shared" si="3"/>
        <v>199</v>
      </c>
      <c r="H80" s="51" t="s">
        <v>306</v>
      </c>
    </row>
    <row r="81" spans="1:8" x14ac:dyDescent="0.25">
      <c r="A81" s="51">
        <v>80</v>
      </c>
      <c r="B81" s="51" t="s">
        <v>158</v>
      </c>
      <c r="C81" s="51">
        <v>6</v>
      </c>
      <c r="D81" s="51" t="s">
        <v>131</v>
      </c>
      <c r="E81" s="51">
        <v>2</v>
      </c>
      <c r="F81" s="51">
        <f t="shared" si="2"/>
        <v>200</v>
      </c>
      <c r="G81" s="51">
        <f t="shared" si="3"/>
        <v>201</v>
      </c>
      <c r="H81" s="51" t="s">
        <v>307</v>
      </c>
    </row>
    <row r="82" spans="1:8" x14ac:dyDescent="0.25">
      <c r="A82" s="51">
        <v>81</v>
      </c>
      <c r="B82" s="51" t="s">
        <v>126</v>
      </c>
      <c r="C82" s="51">
        <v>6</v>
      </c>
      <c r="D82" s="51" t="s">
        <v>132</v>
      </c>
      <c r="E82" s="51">
        <v>2</v>
      </c>
      <c r="F82" s="51">
        <f t="shared" si="2"/>
        <v>202</v>
      </c>
      <c r="G82" s="51">
        <f t="shared" si="3"/>
        <v>203</v>
      </c>
      <c r="H82" s="51" t="s">
        <v>308</v>
      </c>
    </row>
    <row r="83" spans="1:8" x14ac:dyDescent="0.25">
      <c r="A83" s="51">
        <v>82</v>
      </c>
      <c r="B83" s="51" t="s">
        <v>127</v>
      </c>
      <c r="C83" s="51">
        <v>6</v>
      </c>
      <c r="D83" s="51" t="s">
        <v>68</v>
      </c>
      <c r="E83" s="51">
        <v>5</v>
      </c>
      <c r="F83" s="51">
        <f t="shared" si="2"/>
        <v>204</v>
      </c>
      <c r="G83" s="51">
        <f t="shared" si="3"/>
        <v>208</v>
      </c>
      <c r="H83" s="51" t="s">
        <v>309</v>
      </c>
    </row>
    <row r="84" spans="1:8" x14ac:dyDescent="0.25">
      <c r="A84" s="51">
        <v>83</v>
      </c>
      <c r="B84" s="51" t="s">
        <v>128</v>
      </c>
      <c r="C84" s="51">
        <v>6</v>
      </c>
      <c r="D84" s="51" t="s">
        <v>133</v>
      </c>
      <c r="E84" s="51">
        <v>2</v>
      </c>
      <c r="F84" s="51">
        <f t="shared" si="2"/>
        <v>209</v>
      </c>
      <c r="G84" s="51">
        <f t="shared" si="3"/>
        <v>210</v>
      </c>
      <c r="H84" s="51" t="s">
        <v>310</v>
      </c>
    </row>
    <row r="85" spans="1:8" x14ac:dyDescent="0.25">
      <c r="A85" s="51">
        <v>84</v>
      </c>
      <c r="B85" s="51" t="s">
        <v>129</v>
      </c>
      <c r="C85" s="51">
        <v>6</v>
      </c>
      <c r="D85" s="51" t="s">
        <v>134</v>
      </c>
      <c r="E85" s="51">
        <v>2</v>
      </c>
      <c r="F85" s="51">
        <f t="shared" si="2"/>
        <v>211</v>
      </c>
      <c r="G85" s="51">
        <f t="shared" si="3"/>
        <v>212</v>
      </c>
      <c r="H85" s="51" t="s">
        <v>311</v>
      </c>
    </row>
    <row r="86" spans="1:8" x14ac:dyDescent="0.25">
      <c r="A86" s="51">
        <v>85</v>
      </c>
      <c r="B86" s="51" t="s">
        <v>61</v>
      </c>
      <c r="C86" s="51">
        <v>6</v>
      </c>
      <c r="D86" s="51" t="s">
        <v>135</v>
      </c>
      <c r="E86" s="51">
        <v>2</v>
      </c>
      <c r="F86" s="51">
        <f t="shared" si="2"/>
        <v>213</v>
      </c>
      <c r="G86" s="51">
        <f t="shared" si="3"/>
        <v>214</v>
      </c>
      <c r="H86" s="51" t="s">
        <v>312</v>
      </c>
    </row>
    <row r="87" spans="1:8" x14ac:dyDescent="0.25">
      <c r="A87" s="51">
        <v>86</v>
      </c>
      <c r="B87" s="51" t="s">
        <v>157</v>
      </c>
      <c r="C87" s="51">
        <v>6</v>
      </c>
      <c r="D87" s="51" t="s">
        <v>136</v>
      </c>
      <c r="E87" s="51">
        <v>2</v>
      </c>
      <c r="F87" s="51">
        <f t="shared" si="2"/>
        <v>215</v>
      </c>
      <c r="G87" s="51">
        <f t="shared" si="3"/>
        <v>216</v>
      </c>
      <c r="H87" s="51" t="s">
        <v>313</v>
      </c>
    </row>
    <row r="88" spans="1:8" x14ac:dyDescent="0.25">
      <c r="A88" s="51">
        <v>87</v>
      </c>
      <c r="B88" s="51" t="s">
        <v>140</v>
      </c>
      <c r="C88" s="51">
        <v>6</v>
      </c>
      <c r="D88" s="51" t="s">
        <v>137</v>
      </c>
      <c r="E88" s="51">
        <v>2</v>
      </c>
      <c r="F88" s="51">
        <f t="shared" si="2"/>
        <v>217</v>
      </c>
      <c r="G88" s="51">
        <f t="shared" si="3"/>
        <v>218</v>
      </c>
      <c r="H88" s="51" t="s">
        <v>314</v>
      </c>
    </row>
    <row r="89" spans="1:8" x14ac:dyDescent="0.25">
      <c r="A89" s="51">
        <v>88</v>
      </c>
      <c r="B89" s="51" t="s">
        <v>141</v>
      </c>
      <c r="C89" s="51">
        <v>6</v>
      </c>
      <c r="D89" s="51" t="s">
        <v>67</v>
      </c>
      <c r="E89" s="51">
        <v>5</v>
      </c>
      <c r="F89" s="51">
        <f t="shared" si="2"/>
        <v>219</v>
      </c>
      <c r="G89" s="51">
        <f t="shared" si="3"/>
        <v>223</v>
      </c>
      <c r="H89" s="51" t="s">
        <v>315</v>
      </c>
    </row>
    <row r="90" spans="1:8" x14ac:dyDescent="0.25">
      <c r="A90" s="51">
        <v>89</v>
      </c>
      <c r="B90" s="51" t="s">
        <v>62</v>
      </c>
      <c r="C90" s="51">
        <v>6</v>
      </c>
      <c r="D90" s="51" t="s">
        <v>135</v>
      </c>
      <c r="E90" s="51">
        <v>2</v>
      </c>
      <c r="F90" s="51">
        <f t="shared" si="2"/>
        <v>224</v>
      </c>
      <c r="G90" s="51">
        <f t="shared" si="3"/>
        <v>225</v>
      </c>
      <c r="H90" s="51" t="s">
        <v>316</v>
      </c>
    </row>
    <row r="91" spans="1:8" x14ac:dyDescent="0.25">
      <c r="A91" s="51">
        <v>90</v>
      </c>
      <c r="B91" s="51" t="s">
        <v>158</v>
      </c>
      <c r="C91" s="51">
        <v>6</v>
      </c>
      <c r="D91" s="51" t="s">
        <v>136</v>
      </c>
      <c r="E91" s="51">
        <v>2</v>
      </c>
      <c r="F91" s="51">
        <f t="shared" si="2"/>
        <v>226</v>
      </c>
      <c r="G91" s="51">
        <f t="shared" si="3"/>
        <v>227</v>
      </c>
      <c r="H91" s="51" t="s">
        <v>317</v>
      </c>
    </row>
    <row r="92" spans="1:8" x14ac:dyDescent="0.25">
      <c r="A92" s="51">
        <v>91</v>
      </c>
      <c r="B92" s="51" t="s">
        <v>142</v>
      </c>
      <c r="C92" s="51">
        <v>6</v>
      </c>
      <c r="D92" s="51" t="s">
        <v>137</v>
      </c>
      <c r="E92" s="51">
        <v>2</v>
      </c>
      <c r="F92" s="51">
        <f t="shared" si="2"/>
        <v>228</v>
      </c>
      <c r="G92" s="51">
        <f t="shared" si="3"/>
        <v>229</v>
      </c>
      <c r="H92" s="51" t="s">
        <v>318</v>
      </c>
    </row>
    <row r="93" spans="1:8" x14ac:dyDescent="0.25">
      <c r="A93" s="51">
        <v>92</v>
      </c>
      <c r="B93" s="51" t="s">
        <v>143</v>
      </c>
      <c r="C93" s="51">
        <v>6</v>
      </c>
      <c r="D93" s="51" t="s">
        <v>67</v>
      </c>
      <c r="E93" s="51">
        <v>5</v>
      </c>
      <c r="F93" s="51">
        <f t="shared" si="2"/>
        <v>230</v>
      </c>
      <c r="G93" s="51">
        <f t="shared" si="3"/>
        <v>234</v>
      </c>
      <c r="H93" s="51" t="s">
        <v>319</v>
      </c>
    </row>
    <row r="94" spans="1:8" x14ac:dyDescent="0.25">
      <c r="A94" s="51">
        <v>93</v>
      </c>
      <c r="B94" s="51" t="s">
        <v>144</v>
      </c>
      <c r="C94" s="51">
        <v>6</v>
      </c>
      <c r="D94" s="51" t="s">
        <v>138</v>
      </c>
      <c r="E94" s="51">
        <v>2</v>
      </c>
      <c r="F94" s="51">
        <f t="shared" si="2"/>
        <v>235</v>
      </c>
      <c r="G94" s="51">
        <f t="shared" si="3"/>
        <v>236</v>
      </c>
      <c r="H94" s="51" t="s">
        <v>320</v>
      </c>
    </row>
    <row r="95" spans="1:8" x14ac:dyDescent="0.25">
      <c r="A95" s="51">
        <v>94</v>
      </c>
      <c r="B95" s="51" t="s">
        <v>145</v>
      </c>
      <c r="C95" s="51">
        <v>6</v>
      </c>
      <c r="D95" s="51" t="s">
        <v>139</v>
      </c>
      <c r="E95" s="51">
        <v>2</v>
      </c>
      <c r="F95" s="51">
        <f t="shared" si="2"/>
        <v>237</v>
      </c>
      <c r="G95" s="51">
        <f t="shared" si="3"/>
        <v>238</v>
      </c>
      <c r="H95" s="51" t="s">
        <v>321</v>
      </c>
    </row>
    <row r="96" spans="1:8" x14ac:dyDescent="0.25">
      <c r="A96" s="51">
        <v>95</v>
      </c>
      <c r="B96" s="51" t="s">
        <v>536</v>
      </c>
      <c r="C96" s="51">
        <v>6</v>
      </c>
      <c r="D96" s="51" t="s">
        <v>538</v>
      </c>
      <c r="E96" s="51">
        <v>3</v>
      </c>
      <c r="F96" s="51">
        <f t="shared" si="2"/>
        <v>239</v>
      </c>
      <c r="G96" s="51">
        <f t="shared" si="3"/>
        <v>241</v>
      </c>
      <c r="H96" s="51" t="s">
        <v>525</v>
      </c>
    </row>
    <row r="97" spans="1:8" x14ac:dyDescent="0.25">
      <c r="A97" s="51">
        <v>96</v>
      </c>
      <c r="B97" s="51" t="s">
        <v>537</v>
      </c>
      <c r="C97" s="51">
        <v>6</v>
      </c>
      <c r="D97" s="51" t="s">
        <v>539</v>
      </c>
      <c r="E97" s="51">
        <v>3</v>
      </c>
      <c r="F97" s="51">
        <f t="shared" si="2"/>
        <v>242</v>
      </c>
      <c r="G97" s="51">
        <f t="shared" si="3"/>
        <v>244</v>
      </c>
      <c r="H97" s="51" t="s">
        <v>526</v>
      </c>
    </row>
    <row r="98" spans="1:8" x14ac:dyDescent="0.25">
      <c r="A98" s="51">
        <v>97</v>
      </c>
      <c r="B98" s="51" t="s">
        <v>146</v>
      </c>
      <c r="C98" s="51">
        <v>6</v>
      </c>
      <c r="D98" s="51">
        <v>5</v>
      </c>
      <c r="E98" s="51">
        <v>2</v>
      </c>
      <c r="F98" s="51">
        <f t="shared" si="2"/>
        <v>245</v>
      </c>
      <c r="G98" s="51">
        <f t="shared" si="3"/>
        <v>246</v>
      </c>
      <c r="H98" s="51" t="s">
        <v>322</v>
      </c>
    </row>
    <row r="99" spans="1:8" x14ac:dyDescent="0.25">
      <c r="A99" s="51">
        <v>98</v>
      </c>
      <c r="B99" s="51" t="s">
        <v>147</v>
      </c>
      <c r="C99" s="51">
        <v>6</v>
      </c>
      <c r="D99" s="51">
        <v>6</v>
      </c>
      <c r="E99" s="51">
        <v>2</v>
      </c>
      <c r="F99" s="51">
        <f t="shared" si="2"/>
        <v>247</v>
      </c>
      <c r="G99" s="51">
        <f t="shared" si="3"/>
        <v>248</v>
      </c>
      <c r="H99" s="51" t="s">
        <v>323</v>
      </c>
    </row>
    <row r="100" spans="1:8" x14ac:dyDescent="0.25">
      <c r="A100" s="51">
        <v>99</v>
      </c>
      <c r="B100" s="51" t="s">
        <v>148</v>
      </c>
      <c r="C100" s="51">
        <v>6</v>
      </c>
      <c r="D100" s="51">
        <v>7</v>
      </c>
      <c r="E100" s="51">
        <v>3</v>
      </c>
      <c r="F100" s="51">
        <f t="shared" si="2"/>
        <v>249</v>
      </c>
      <c r="G100" s="51">
        <f t="shared" si="3"/>
        <v>251</v>
      </c>
      <c r="H100" s="51" t="s">
        <v>324</v>
      </c>
    </row>
    <row r="101" spans="1:8" x14ac:dyDescent="0.25">
      <c r="A101" s="51">
        <v>100</v>
      </c>
      <c r="B101" s="51" t="s">
        <v>171</v>
      </c>
      <c r="C101" s="51">
        <v>6</v>
      </c>
      <c r="D101" s="51">
        <v>9</v>
      </c>
      <c r="E101" s="51">
        <v>8</v>
      </c>
      <c r="F101" s="51">
        <f t="shared" si="2"/>
        <v>252</v>
      </c>
      <c r="G101" s="51">
        <f t="shared" si="3"/>
        <v>259</v>
      </c>
      <c r="H101" s="51" t="s">
        <v>325</v>
      </c>
    </row>
    <row r="102" spans="1:8" x14ac:dyDescent="0.25">
      <c r="A102" s="51">
        <v>101</v>
      </c>
      <c r="B102" s="51" t="s">
        <v>172</v>
      </c>
      <c r="C102" s="51">
        <v>6</v>
      </c>
      <c r="D102" s="51">
        <v>10</v>
      </c>
      <c r="E102" s="51">
        <v>8</v>
      </c>
      <c r="F102" s="51">
        <f t="shared" si="2"/>
        <v>260</v>
      </c>
      <c r="G102" s="51">
        <f t="shared" si="3"/>
        <v>267</v>
      </c>
      <c r="H102" s="51" t="s">
        <v>326</v>
      </c>
    </row>
    <row r="103" spans="1:8" x14ac:dyDescent="0.25">
      <c r="A103" s="51">
        <v>102</v>
      </c>
      <c r="B103" s="51" t="s">
        <v>559</v>
      </c>
      <c r="C103" s="51">
        <v>0</v>
      </c>
      <c r="D103" s="51">
        <v>0</v>
      </c>
      <c r="E103" s="51">
        <v>3</v>
      </c>
      <c r="F103" s="51">
        <f t="shared" si="2"/>
        <v>268</v>
      </c>
      <c r="G103" s="51">
        <f t="shared" si="3"/>
        <v>270</v>
      </c>
      <c r="H103" s="51" t="s">
        <v>204</v>
      </c>
    </row>
    <row r="104" spans="1:8" x14ac:dyDescent="0.25">
      <c r="A104" s="51">
        <v>103</v>
      </c>
      <c r="B104" s="51" t="s">
        <v>540</v>
      </c>
      <c r="C104" s="51">
        <v>0</v>
      </c>
      <c r="D104" s="51">
        <v>0</v>
      </c>
      <c r="E104" s="51">
        <v>10</v>
      </c>
      <c r="F104" s="51">
        <f t="shared" si="2"/>
        <v>271</v>
      </c>
      <c r="G104" s="51">
        <f t="shared" si="3"/>
        <v>280</v>
      </c>
      <c r="H104" s="51" t="s">
        <v>205</v>
      </c>
    </row>
    <row r="105" spans="1:8" x14ac:dyDescent="0.25">
      <c r="A105" s="51">
        <v>104</v>
      </c>
      <c r="B105" s="51" t="s">
        <v>555</v>
      </c>
      <c r="C105" s="51">
        <v>0</v>
      </c>
      <c r="D105" s="51">
        <v>0</v>
      </c>
      <c r="E105" s="51">
        <v>3</v>
      </c>
      <c r="F105" s="51">
        <f t="shared" si="2"/>
        <v>281</v>
      </c>
      <c r="G105" s="51">
        <f t="shared" si="3"/>
        <v>283</v>
      </c>
      <c r="H105" s="51" t="s">
        <v>549</v>
      </c>
    </row>
    <row r="106" spans="1:8" x14ac:dyDescent="0.25">
      <c r="A106" s="51">
        <v>105</v>
      </c>
      <c r="B106" s="51" t="s">
        <v>545</v>
      </c>
      <c r="C106" s="51">
        <v>0</v>
      </c>
      <c r="D106" s="51">
        <v>0</v>
      </c>
      <c r="E106" s="51">
        <v>10</v>
      </c>
      <c r="F106" s="51">
        <f t="shared" si="2"/>
        <v>284</v>
      </c>
      <c r="G106" s="51">
        <f t="shared" si="3"/>
        <v>293</v>
      </c>
      <c r="H106" s="51" t="s">
        <v>541</v>
      </c>
    </row>
    <row r="107" spans="1:8" x14ac:dyDescent="0.25">
      <c r="A107" s="51">
        <v>106</v>
      </c>
      <c r="B107" s="51" t="s">
        <v>547</v>
      </c>
      <c r="C107" s="51">
        <v>0</v>
      </c>
      <c r="D107" s="51">
        <v>0</v>
      </c>
      <c r="E107" s="51">
        <v>4</v>
      </c>
      <c r="F107" s="51">
        <f t="shared" si="2"/>
        <v>294</v>
      </c>
      <c r="G107" s="51">
        <f t="shared" si="3"/>
        <v>297</v>
      </c>
      <c r="H107" s="51" t="s">
        <v>542</v>
      </c>
    </row>
    <row r="108" spans="1:8" x14ac:dyDescent="0.25">
      <c r="A108" s="51">
        <v>107</v>
      </c>
      <c r="B108" s="51" t="s">
        <v>546</v>
      </c>
      <c r="C108" s="51">
        <v>0</v>
      </c>
      <c r="D108" s="51">
        <v>0</v>
      </c>
      <c r="E108" s="51">
        <v>2</v>
      </c>
      <c r="F108" s="51">
        <f t="shared" si="2"/>
        <v>298</v>
      </c>
      <c r="G108" s="51">
        <f t="shared" si="3"/>
        <v>299</v>
      </c>
      <c r="H108" s="51" t="s">
        <v>543</v>
      </c>
    </row>
    <row r="109" spans="1:8" x14ac:dyDescent="0.25">
      <c r="A109" s="51">
        <v>108</v>
      </c>
      <c r="B109" s="51" t="s">
        <v>560</v>
      </c>
      <c r="C109" s="51">
        <v>0</v>
      </c>
      <c r="D109" s="51">
        <v>0</v>
      </c>
      <c r="E109" s="51">
        <v>2</v>
      </c>
      <c r="F109" s="51">
        <f t="shared" si="2"/>
        <v>300</v>
      </c>
      <c r="G109" s="51">
        <f t="shared" si="3"/>
        <v>301</v>
      </c>
      <c r="H109" s="51" t="s">
        <v>562</v>
      </c>
    </row>
    <row r="110" spans="1:8" x14ac:dyDescent="0.25"/>
    <row r="111" spans="1:8" x14ac:dyDescent="0.25"/>
    <row r="112" spans="1:8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showGridLines="0" workbookViewId="0">
      <selection activeCell="F1" sqref="F1"/>
    </sheetView>
  </sheetViews>
  <sheetFormatPr defaultColWidth="9.140625" defaultRowHeight="15" x14ac:dyDescent="0.25"/>
  <cols>
    <col min="1" max="1" width="3.42578125" bestFit="1" customWidth="1"/>
    <col min="2" max="2" width="84.140625" bestFit="1" customWidth="1"/>
    <col min="3" max="3" width="9.42578125" bestFit="1" customWidth="1"/>
    <col min="4" max="4" width="10.28515625" bestFit="1" customWidth="1"/>
    <col min="5" max="5" width="12" bestFit="1" customWidth="1"/>
    <col min="6" max="6" width="11.140625" bestFit="1" customWidth="1"/>
  </cols>
  <sheetData>
    <row r="1" spans="1:6" x14ac:dyDescent="0.25">
      <c r="A1" s="24" t="s">
        <v>0</v>
      </c>
      <c r="B1" s="24" t="s">
        <v>1</v>
      </c>
      <c r="C1" s="25" t="s">
        <v>2</v>
      </c>
      <c r="D1" s="25" t="s">
        <v>159</v>
      </c>
      <c r="E1" s="25" t="s">
        <v>3</v>
      </c>
      <c r="F1" s="24" t="s">
        <v>174</v>
      </c>
    </row>
    <row r="2" spans="1:6" x14ac:dyDescent="0.25">
      <c r="A2" s="26">
        <v>1</v>
      </c>
      <c r="B2" s="26" t="s">
        <v>150</v>
      </c>
      <c r="C2" s="27"/>
      <c r="D2" s="27"/>
      <c r="E2" s="26">
        <v>4</v>
      </c>
      <c r="F2" s="28" t="s">
        <v>175</v>
      </c>
    </row>
    <row r="3" spans="1:6" x14ac:dyDescent="0.25">
      <c r="A3" s="26">
        <v>2</v>
      </c>
      <c r="B3" s="26" t="s">
        <v>23</v>
      </c>
      <c r="C3" s="29">
        <v>1</v>
      </c>
      <c r="D3" s="29">
        <v>2</v>
      </c>
      <c r="E3" s="26">
        <v>3</v>
      </c>
      <c r="F3" s="28" t="s">
        <v>176</v>
      </c>
    </row>
    <row r="4" spans="1:6" x14ac:dyDescent="0.25">
      <c r="A4" s="26">
        <v>3</v>
      </c>
      <c r="B4" s="26" t="s">
        <v>5</v>
      </c>
      <c r="C4" s="29"/>
      <c r="D4" s="29"/>
      <c r="E4" s="26">
        <v>2</v>
      </c>
      <c r="F4" s="28" t="s">
        <v>177</v>
      </c>
    </row>
    <row r="5" spans="1:6" x14ac:dyDescent="0.25">
      <c r="A5" s="26">
        <v>4</v>
      </c>
      <c r="B5" s="26" t="s">
        <v>6</v>
      </c>
      <c r="C5" s="29"/>
      <c r="D5" s="29"/>
      <c r="E5" s="26">
        <v>2</v>
      </c>
      <c r="F5" s="28" t="s">
        <v>178</v>
      </c>
    </row>
    <row r="6" spans="1:6" x14ac:dyDescent="0.25">
      <c r="A6" s="26">
        <v>5</v>
      </c>
      <c r="B6" s="26" t="s">
        <v>7</v>
      </c>
      <c r="C6" s="29">
        <v>1</v>
      </c>
      <c r="D6" s="29">
        <v>3</v>
      </c>
      <c r="E6" s="26">
        <v>1</v>
      </c>
      <c r="F6" s="28" t="s">
        <v>179</v>
      </c>
    </row>
    <row r="7" spans="1:6" x14ac:dyDescent="0.25">
      <c r="A7" s="26">
        <v>6</v>
      </c>
      <c r="B7" s="26" t="s">
        <v>11</v>
      </c>
      <c r="C7" s="29">
        <v>0</v>
      </c>
      <c r="D7" s="29">
        <v>1</v>
      </c>
      <c r="E7" s="26">
        <v>2</v>
      </c>
      <c r="F7" s="28" t="s">
        <v>180</v>
      </c>
    </row>
    <row r="8" spans="1:6" x14ac:dyDescent="0.25">
      <c r="A8" s="26">
        <v>7</v>
      </c>
      <c r="B8" s="31" t="s">
        <v>160</v>
      </c>
      <c r="C8" s="32">
        <v>1</v>
      </c>
      <c r="D8" s="32">
        <v>4</v>
      </c>
      <c r="E8" s="31">
        <v>2</v>
      </c>
      <c r="F8" s="28" t="s">
        <v>181</v>
      </c>
    </row>
    <row r="9" spans="1:6" x14ac:dyDescent="0.25">
      <c r="A9" s="26">
        <v>8</v>
      </c>
      <c r="B9" s="31" t="s">
        <v>31</v>
      </c>
      <c r="C9" s="32">
        <v>1</v>
      </c>
      <c r="D9" s="32">
        <v>4</v>
      </c>
      <c r="E9" s="31">
        <v>3</v>
      </c>
      <c r="F9" s="28" t="s">
        <v>182</v>
      </c>
    </row>
    <row r="10" spans="1:6" x14ac:dyDescent="0.25">
      <c r="A10" s="26">
        <v>9</v>
      </c>
      <c r="B10" s="26" t="s">
        <v>12</v>
      </c>
      <c r="C10" s="29">
        <v>1</v>
      </c>
      <c r="D10" s="29">
        <v>5</v>
      </c>
      <c r="E10" s="26">
        <v>2</v>
      </c>
      <c r="F10" s="28" t="s">
        <v>183</v>
      </c>
    </row>
    <row r="11" spans="1:6" x14ac:dyDescent="0.25">
      <c r="A11" s="26">
        <v>10</v>
      </c>
      <c r="B11" s="26" t="s">
        <v>13</v>
      </c>
      <c r="C11" s="29">
        <v>1</v>
      </c>
      <c r="D11" s="29">
        <v>6</v>
      </c>
      <c r="E11" s="26">
        <v>2</v>
      </c>
      <c r="F11" s="28" t="s">
        <v>184</v>
      </c>
    </row>
    <row r="12" spans="1:6" x14ac:dyDescent="0.25">
      <c r="A12" s="26">
        <v>11</v>
      </c>
      <c r="B12" s="26" t="s">
        <v>14</v>
      </c>
      <c r="C12" s="29">
        <v>1</v>
      </c>
      <c r="D12" s="29">
        <v>11</v>
      </c>
      <c r="E12" s="26">
        <v>1</v>
      </c>
      <c r="F12" s="28" t="s">
        <v>185</v>
      </c>
    </row>
    <row r="13" spans="1:6" x14ac:dyDescent="0.25">
      <c r="A13" s="26">
        <v>12</v>
      </c>
      <c r="B13" s="26" t="s">
        <v>15</v>
      </c>
      <c r="C13" s="27">
        <v>1</v>
      </c>
      <c r="D13" s="27">
        <v>12</v>
      </c>
      <c r="E13" s="26">
        <v>4</v>
      </c>
      <c r="F13" s="28" t="s">
        <v>186</v>
      </c>
    </row>
    <row r="14" spans="1:6" x14ac:dyDescent="0.25">
      <c r="A14" s="26">
        <v>13</v>
      </c>
      <c r="B14" s="26" t="s">
        <v>151</v>
      </c>
      <c r="C14" s="29">
        <v>1</v>
      </c>
      <c r="D14" s="29">
        <v>1</v>
      </c>
      <c r="E14" s="26">
        <v>5</v>
      </c>
      <c r="F14" s="28" t="s">
        <v>187</v>
      </c>
    </row>
    <row r="15" spans="1:6" x14ac:dyDescent="0.25">
      <c r="A15" s="26">
        <v>14</v>
      </c>
      <c r="B15" s="26" t="s">
        <v>8</v>
      </c>
      <c r="C15" s="29">
        <v>1</v>
      </c>
      <c r="D15" s="29">
        <v>13</v>
      </c>
      <c r="E15" s="26">
        <v>1</v>
      </c>
      <c r="F15" s="28" t="s">
        <v>188</v>
      </c>
    </row>
    <row r="16" spans="1:6" x14ac:dyDescent="0.25">
      <c r="A16" s="26">
        <v>15</v>
      </c>
      <c r="B16" s="26" t="s">
        <v>9</v>
      </c>
      <c r="C16" s="29">
        <v>1</v>
      </c>
      <c r="D16" s="29">
        <v>14</v>
      </c>
      <c r="E16" s="26">
        <v>1</v>
      </c>
      <c r="F16" s="28" t="s">
        <v>189</v>
      </c>
    </row>
    <row r="17" spans="1:6" x14ac:dyDescent="0.25">
      <c r="A17" s="26">
        <v>16</v>
      </c>
      <c r="B17" s="26" t="s">
        <v>10</v>
      </c>
      <c r="C17" s="29">
        <v>1</v>
      </c>
      <c r="D17" s="29">
        <v>15</v>
      </c>
      <c r="E17" s="26">
        <v>2</v>
      </c>
      <c r="F17" s="28" t="s">
        <v>190</v>
      </c>
    </row>
    <row r="18" spans="1:6" x14ac:dyDescent="0.25">
      <c r="A18" s="26">
        <v>17</v>
      </c>
      <c r="B18" s="26" t="s">
        <v>24</v>
      </c>
      <c r="C18" s="29">
        <v>1</v>
      </c>
      <c r="D18" s="29">
        <v>9</v>
      </c>
      <c r="E18" s="26">
        <v>2</v>
      </c>
      <c r="F18" s="28" t="s">
        <v>191</v>
      </c>
    </row>
    <row r="19" spans="1:6" x14ac:dyDescent="0.25">
      <c r="A19" s="26">
        <v>18</v>
      </c>
      <c r="B19" s="26" t="s">
        <v>25</v>
      </c>
      <c r="C19" s="29">
        <v>1</v>
      </c>
      <c r="D19" s="29">
        <v>17</v>
      </c>
      <c r="E19" s="26">
        <v>1</v>
      </c>
      <c r="F19" s="28" t="s">
        <v>192</v>
      </c>
    </row>
    <row r="20" spans="1:6" x14ac:dyDescent="0.25">
      <c r="A20" s="26">
        <v>19</v>
      </c>
      <c r="B20" s="26" t="s">
        <v>16</v>
      </c>
      <c r="C20" s="29">
        <v>1</v>
      </c>
      <c r="D20" s="29">
        <v>18</v>
      </c>
      <c r="E20" s="26">
        <v>1</v>
      </c>
      <c r="F20" s="28" t="s">
        <v>193</v>
      </c>
    </row>
    <row r="21" spans="1:6" x14ac:dyDescent="0.25">
      <c r="A21" s="26">
        <v>20</v>
      </c>
      <c r="B21" s="26" t="s">
        <v>27</v>
      </c>
      <c r="C21" s="29">
        <v>1</v>
      </c>
      <c r="D21" s="29">
        <v>19</v>
      </c>
      <c r="E21" s="26">
        <v>1</v>
      </c>
      <c r="F21" s="28" t="s">
        <v>194</v>
      </c>
    </row>
    <row r="22" spans="1:6" x14ac:dyDescent="0.25">
      <c r="A22" s="26">
        <v>21</v>
      </c>
      <c r="B22" s="26" t="s">
        <v>18</v>
      </c>
      <c r="C22" s="29">
        <v>3</v>
      </c>
      <c r="D22" s="29">
        <v>1</v>
      </c>
      <c r="E22" s="26">
        <v>2</v>
      </c>
      <c r="F22" s="28" t="s">
        <v>195</v>
      </c>
    </row>
    <row r="23" spans="1:6" x14ac:dyDescent="0.25">
      <c r="A23" s="26">
        <v>22</v>
      </c>
      <c r="B23" s="26" t="s">
        <v>19</v>
      </c>
      <c r="C23" s="29">
        <v>3</v>
      </c>
      <c r="D23" s="29">
        <v>2</v>
      </c>
      <c r="E23" s="26">
        <v>1</v>
      </c>
      <c r="F23" s="28" t="s">
        <v>196</v>
      </c>
    </row>
    <row r="24" spans="1:6" x14ac:dyDescent="0.25">
      <c r="A24" s="26">
        <v>23</v>
      </c>
      <c r="B24" s="26" t="s">
        <v>20</v>
      </c>
      <c r="C24" s="29">
        <v>3</v>
      </c>
      <c r="D24" s="29">
        <v>3</v>
      </c>
      <c r="E24" s="26">
        <v>1</v>
      </c>
      <c r="F24" s="28" t="s">
        <v>197</v>
      </c>
    </row>
    <row r="25" spans="1:6" x14ac:dyDescent="0.25">
      <c r="A25" s="26">
        <v>24</v>
      </c>
      <c r="B25" s="26" t="s">
        <v>21</v>
      </c>
      <c r="C25" s="29">
        <v>3</v>
      </c>
      <c r="D25" s="29">
        <v>4</v>
      </c>
      <c r="E25" s="26">
        <v>1</v>
      </c>
      <c r="F25" s="28" t="s">
        <v>198</v>
      </c>
    </row>
    <row r="26" spans="1:6" x14ac:dyDescent="0.25">
      <c r="A26" s="31">
        <v>25</v>
      </c>
      <c r="B26" s="33" t="s">
        <v>22</v>
      </c>
      <c r="C26" s="32">
        <v>3</v>
      </c>
      <c r="D26" s="32">
        <v>5</v>
      </c>
      <c r="E26" s="33">
        <v>8</v>
      </c>
      <c r="F26" s="28" t="s">
        <v>199</v>
      </c>
    </row>
    <row r="27" spans="1:6" x14ac:dyDescent="0.25">
      <c r="A27" s="31">
        <v>26</v>
      </c>
      <c r="B27" s="31" t="s">
        <v>26</v>
      </c>
      <c r="C27" s="32">
        <v>1</v>
      </c>
      <c r="D27" s="32">
        <v>16</v>
      </c>
      <c r="E27" s="31">
        <v>2</v>
      </c>
      <c r="F27" s="28" t="s">
        <v>200</v>
      </c>
    </row>
    <row r="28" spans="1:6" x14ac:dyDescent="0.25">
      <c r="A28" s="31">
        <v>27</v>
      </c>
      <c r="B28" s="31" t="s">
        <v>28</v>
      </c>
      <c r="C28" s="32">
        <v>2</v>
      </c>
      <c r="D28" s="32" t="s">
        <v>29</v>
      </c>
      <c r="E28" s="31">
        <v>8</v>
      </c>
      <c r="F28" s="28" t="s">
        <v>201</v>
      </c>
    </row>
    <row r="29" spans="1:6" x14ac:dyDescent="0.25">
      <c r="A29" s="31">
        <v>28</v>
      </c>
      <c r="B29" s="31" t="s">
        <v>17</v>
      </c>
      <c r="C29" s="32">
        <v>2</v>
      </c>
      <c r="D29" s="32">
        <v>4</v>
      </c>
      <c r="E29" s="31">
        <v>4</v>
      </c>
      <c r="F29" s="28" t="s">
        <v>202</v>
      </c>
    </row>
    <row r="30" spans="1:6" x14ac:dyDescent="0.25">
      <c r="A30" s="31">
        <v>29</v>
      </c>
      <c r="B30" s="31" t="s">
        <v>153</v>
      </c>
      <c r="C30" s="32" t="s">
        <v>30</v>
      </c>
      <c r="D30" s="32"/>
      <c r="E30" s="31">
        <v>3</v>
      </c>
      <c r="F30" s="28" t="s">
        <v>203</v>
      </c>
    </row>
    <row r="31" spans="1:6" x14ac:dyDescent="0.25">
      <c r="A31" s="31">
        <v>30</v>
      </c>
      <c r="B31" s="31" t="s">
        <v>152</v>
      </c>
      <c r="C31" s="32" t="s">
        <v>30</v>
      </c>
      <c r="D31" s="32"/>
      <c r="E31" s="31">
        <v>3</v>
      </c>
      <c r="F31" s="28" t="s">
        <v>204</v>
      </c>
    </row>
    <row r="32" spans="1:6" x14ac:dyDescent="0.25">
      <c r="A32" s="31">
        <v>31</v>
      </c>
      <c r="B32" s="31" t="s">
        <v>154</v>
      </c>
      <c r="C32" s="32" t="s">
        <v>30</v>
      </c>
      <c r="D32" s="32"/>
      <c r="E32" s="31">
        <v>10</v>
      </c>
      <c r="F32" s="28" t="s">
        <v>205</v>
      </c>
    </row>
    <row r="33" spans="1:6" x14ac:dyDescent="0.25">
      <c r="A33" s="31">
        <v>32</v>
      </c>
      <c r="B33" s="26" t="s">
        <v>328</v>
      </c>
      <c r="C33" s="32" t="s">
        <v>30</v>
      </c>
      <c r="D33" s="33"/>
      <c r="E33" s="31">
        <v>1</v>
      </c>
      <c r="F33" s="28" t="s">
        <v>206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5"/>
  <sheetViews>
    <sheetView showGridLines="0" workbookViewId="0">
      <selection activeCell="L8" sqref="L8"/>
    </sheetView>
  </sheetViews>
  <sheetFormatPr defaultRowHeight="15" x14ac:dyDescent="0.25"/>
  <cols>
    <col min="1" max="1" width="4" bestFit="1" customWidth="1"/>
    <col min="2" max="2" width="84.140625" bestFit="1" customWidth="1"/>
    <col min="3" max="3" width="9.42578125" bestFit="1" customWidth="1"/>
    <col min="4" max="4" width="10.28515625" bestFit="1" customWidth="1"/>
    <col min="5" max="5" width="12" bestFit="1" customWidth="1"/>
    <col min="6" max="6" width="11.140625" bestFit="1" customWidth="1"/>
  </cols>
  <sheetData>
    <row r="1" spans="1:6" x14ac:dyDescent="0.25">
      <c r="A1" s="24" t="s">
        <v>0</v>
      </c>
      <c r="B1" s="24" t="s">
        <v>1</v>
      </c>
      <c r="C1" s="25" t="s">
        <v>2</v>
      </c>
      <c r="D1" s="25" t="s">
        <v>159</v>
      </c>
      <c r="E1" s="25" t="s">
        <v>3</v>
      </c>
      <c r="F1" s="24" t="s">
        <v>174</v>
      </c>
    </row>
    <row r="2" spans="1:6" x14ac:dyDescent="0.25">
      <c r="A2" s="26">
        <v>1</v>
      </c>
      <c r="B2" s="26" t="s">
        <v>150</v>
      </c>
      <c r="C2" s="30"/>
      <c r="D2" s="26"/>
      <c r="E2" s="26">
        <v>4</v>
      </c>
      <c r="F2" s="28" t="s">
        <v>175</v>
      </c>
    </row>
    <row r="3" spans="1:6" x14ac:dyDescent="0.25">
      <c r="A3" s="26">
        <v>2</v>
      </c>
      <c r="B3" s="26" t="s">
        <v>23</v>
      </c>
      <c r="C3" s="34">
        <v>1</v>
      </c>
      <c r="D3" s="34">
        <v>2</v>
      </c>
      <c r="E3" s="26">
        <v>3</v>
      </c>
      <c r="F3" s="28" t="s">
        <v>176</v>
      </c>
    </row>
    <row r="4" spans="1:6" x14ac:dyDescent="0.25">
      <c r="A4" s="26">
        <v>3</v>
      </c>
      <c r="B4" s="26" t="s">
        <v>5</v>
      </c>
      <c r="C4" s="34"/>
      <c r="D4" s="34"/>
      <c r="E4" s="26">
        <v>2</v>
      </c>
      <c r="F4" s="28" t="s">
        <v>177</v>
      </c>
    </row>
    <row r="5" spans="1:6" x14ac:dyDescent="0.25">
      <c r="A5" s="37">
        <v>4</v>
      </c>
      <c r="B5" s="26" t="s">
        <v>6</v>
      </c>
      <c r="C5" s="38"/>
      <c r="D5" s="38"/>
      <c r="E5" s="37">
        <v>2</v>
      </c>
      <c r="F5" s="28" t="s">
        <v>178</v>
      </c>
    </row>
    <row r="6" spans="1:6" x14ac:dyDescent="0.25">
      <c r="A6" s="26">
        <v>5</v>
      </c>
      <c r="B6" s="26" t="s">
        <v>7</v>
      </c>
      <c r="C6" s="34">
        <v>1</v>
      </c>
      <c r="D6" s="34">
        <v>3</v>
      </c>
      <c r="E6" s="26">
        <v>1</v>
      </c>
      <c r="F6" s="28" t="s">
        <v>179</v>
      </c>
    </row>
    <row r="7" spans="1:6" x14ac:dyDescent="0.25">
      <c r="A7" s="26">
        <v>6</v>
      </c>
      <c r="B7" s="26" t="s">
        <v>11</v>
      </c>
      <c r="C7" s="26"/>
      <c r="D7" s="26"/>
      <c r="E7" s="26">
        <v>2</v>
      </c>
      <c r="F7" s="28" t="s">
        <v>180</v>
      </c>
    </row>
    <row r="8" spans="1:6" x14ac:dyDescent="0.25">
      <c r="A8" s="26">
        <v>7</v>
      </c>
      <c r="B8" s="31" t="s">
        <v>160</v>
      </c>
      <c r="C8" s="32">
        <v>1</v>
      </c>
      <c r="D8" s="32">
        <v>4</v>
      </c>
      <c r="E8" s="27">
        <v>2</v>
      </c>
      <c r="F8" s="28" t="s">
        <v>181</v>
      </c>
    </row>
    <row r="9" spans="1:6" x14ac:dyDescent="0.25">
      <c r="A9" s="26">
        <v>8</v>
      </c>
      <c r="B9" s="31" t="s">
        <v>31</v>
      </c>
      <c r="C9" s="35">
        <v>1</v>
      </c>
      <c r="D9" s="35">
        <v>4</v>
      </c>
      <c r="E9" s="26">
        <v>3</v>
      </c>
      <c r="F9" s="28" t="s">
        <v>182</v>
      </c>
    </row>
    <row r="10" spans="1:6" x14ac:dyDescent="0.25">
      <c r="A10" s="26">
        <v>9</v>
      </c>
      <c r="B10" s="26" t="s">
        <v>12</v>
      </c>
      <c r="C10" s="26">
        <v>1</v>
      </c>
      <c r="D10" s="26">
        <v>5</v>
      </c>
      <c r="E10" s="26">
        <v>2</v>
      </c>
      <c r="F10" s="28" t="s">
        <v>183</v>
      </c>
    </row>
    <row r="11" spans="1:6" x14ac:dyDescent="0.25">
      <c r="A11" s="26">
        <v>10</v>
      </c>
      <c r="B11" s="26" t="s">
        <v>13</v>
      </c>
      <c r="C11" s="26">
        <v>1</v>
      </c>
      <c r="D11" s="26">
        <v>6</v>
      </c>
      <c r="E11" s="26">
        <v>2</v>
      </c>
      <c r="F11" s="28" t="s">
        <v>184</v>
      </c>
    </row>
    <row r="12" spans="1:6" x14ac:dyDescent="0.25">
      <c r="A12" s="26">
        <v>11</v>
      </c>
      <c r="B12" s="26" t="s">
        <v>14</v>
      </c>
      <c r="C12" s="26">
        <v>1</v>
      </c>
      <c r="D12" s="26">
        <v>11</v>
      </c>
      <c r="E12" s="26">
        <v>1</v>
      </c>
      <c r="F12" s="28" t="s">
        <v>185</v>
      </c>
    </row>
    <row r="13" spans="1:6" x14ac:dyDescent="0.25">
      <c r="A13" s="26">
        <v>12</v>
      </c>
      <c r="B13" s="26" t="s">
        <v>15</v>
      </c>
      <c r="C13" s="26">
        <v>1</v>
      </c>
      <c r="D13" s="26">
        <v>12</v>
      </c>
      <c r="E13" s="26">
        <v>4</v>
      </c>
      <c r="F13" s="28" t="s">
        <v>186</v>
      </c>
    </row>
    <row r="14" spans="1:6" x14ac:dyDescent="0.25">
      <c r="A14" s="26">
        <v>13</v>
      </c>
      <c r="B14" s="26" t="s">
        <v>151</v>
      </c>
      <c r="C14" s="26">
        <v>1</v>
      </c>
      <c r="D14" s="26">
        <v>1</v>
      </c>
      <c r="E14" s="26">
        <v>5</v>
      </c>
      <c r="F14" s="28" t="s">
        <v>187</v>
      </c>
    </row>
    <row r="15" spans="1:6" x14ac:dyDescent="0.25">
      <c r="A15" s="26">
        <v>14</v>
      </c>
      <c r="B15" s="26" t="s">
        <v>8</v>
      </c>
      <c r="C15" s="26">
        <v>1</v>
      </c>
      <c r="D15" s="26">
        <v>13</v>
      </c>
      <c r="E15" s="26">
        <v>1</v>
      </c>
      <c r="F15" s="28" t="s">
        <v>188</v>
      </c>
    </row>
    <row r="16" spans="1:6" x14ac:dyDescent="0.25">
      <c r="A16" s="26">
        <v>15</v>
      </c>
      <c r="B16" s="26" t="s">
        <v>9</v>
      </c>
      <c r="C16" s="26">
        <v>1</v>
      </c>
      <c r="D16" s="26">
        <v>14</v>
      </c>
      <c r="E16" s="26">
        <v>1</v>
      </c>
      <c r="F16" s="28" t="s">
        <v>189</v>
      </c>
    </row>
    <row r="17" spans="1:6" x14ac:dyDescent="0.25">
      <c r="A17" s="26">
        <v>16</v>
      </c>
      <c r="B17" s="26" t="s">
        <v>10</v>
      </c>
      <c r="C17" s="26">
        <v>1</v>
      </c>
      <c r="D17" s="26">
        <v>15</v>
      </c>
      <c r="E17" s="26">
        <v>2</v>
      </c>
      <c r="F17" s="28" t="s">
        <v>190</v>
      </c>
    </row>
    <row r="18" spans="1:6" x14ac:dyDescent="0.25">
      <c r="A18" s="26">
        <v>17</v>
      </c>
      <c r="B18" s="26" t="s">
        <v>32</v>
      </c>
      <c r="C18" s="26">
        <v>4</v>
      </c>
      <c r="D18" s="26">
        <v>1</v>
      </c>
      <c r="E18" s="26">
        <v>2</v>
      </c>
      <c r="F18" s="28" t="s">
        <v>207</v>
      </c>
    </row>
    <row r="19" spans="1:6" x14ac:dyDescent="0.25">
      <c r="A19" s="26">
        <v>19</v>
      </c>
      <c r="B19" s="26" t="s">
        <v>33</v>
      </c>
      <c r="C19" s="26">
        <v>4</v>
      </c>
      <c r="D19" s="26">
        <v>4</v>
      </c>
      <c r="E19" s="26">
        <v>1</v>
      </c>
      <c r="F19" s="28" t="s">
        <v>208</v>
      </c>
    </row>
    <row r="20" spans="1:6" x14ac:dyDescent="0.25">
      <c r="A20" s="26">
        <v>20</v>
      </c>
      <c r="B20" s="26" t="s">
        <v>209</v>
      </c>
      <c r="C20" s="26">
        <v>4</v>
      </c>
      <c r="D20" s="26">
        <v>5</v>
      </c>
      <c r="E20" s="26">
        <v>1</v>
      </c>
      <c r="F20" s="28" t="s">
        <v>210</v>
      </c>
    </row>
    <row r="21" spans="1:6" x14ac:dyDescent="0.25">
      <c r="A21" s="26">
        <v>21</v>
      </c>
      <c r="B21" s="26" t="s">
        <v>34</v>
      </c>
      <c r="C21" s="26">
        <v>4</v>
      </c>
      <c r="D21" s="26">
        <v>6</v>
      </c>
      <c r="E21" s="26">
        <v>3</v>
      </c>
      <c r="F21" s="28" t="s">
        <v>211</v>
      </c>
    </row>
    <row r="22" spans="1:6" x14ac:dyDescent="0.25">
      <c r="A22" s="26">
        <v>22</v>
      </c>
      <c r="B22" s="26" t="s">
        <v>35</v>
      </c>
      <c r="C22" s="26">
        <v>4</v>
      </c>
      <c r="D22" s="26">
        <v>7</v>
      </c>
      <c r="E22" s="26">
        <v>1</v>
      </c>
      <c r="F22" s="28" t="s">
        <v>212</v>
      </c>
    </row>
    <row r="23" spans="1:6" x14ac:dyDescent="0.25">
      <c r="A23" s="26">
        <v>23</v>
      </c>
      <c r="B23" s="26" t="s">
        <v>36</v>
      </c>
      <c r="C23" s="26">
        <v>4</v>
      </c>
      <c r="D23" s="26">
        <v>8</v>
      </c>
      <c r="E23" s="26">
        <v>2</v>
      </c>
      <c r="F23" s="28" t="s">
        <v>213</v>
      </c>
    </row>
    <row r="24" spans="1:6" x14ac:dyDescent="0.25">
      <c r="A24" s="26">
        <v>24</v>
      </c>
      <c r="B24" s="26" t="s">
        <v>37</v>
      </c>
      <c r="C24" s="26">
        <v>4</v>
      </c>
      <c r="D24" s="26">
        <v>9</v>
      </c>
      <c r="E24" s="26">
        <v>2</v>
      </c>
      <c r="F24" s="28" t="s">
        <v>214</v>
      </c>
    </row>
    <row r="25" spans="1:6" x14ac:dyDescent="0.25">
      <c r="A25" s="26">
        <v>25</v>
      </c>
      <c r="B25" s="26" t="s">
        <v>38</v>
      </c>
      <c r="C25" s="26">
        <v>4</v>
      </c>
      <c r="D25" s="26">
        <v>10</v>
      </c>
      <c r="E25" s="26">
        <v>2</v>
      </c>
      <c r="F25" s="28" t="s">
        <v>215</v>
      </c>
    </row>
    <row r="26" spans="1:6" x14ac:dyDescent="0.25">
      <c r="A26" s="26">
        <v>26</v>
      </c>
      <c r="B26" s="26" t="s">
        <v>39</v>
      </c>
      <c r="C26" s="26">
        <v>4</v>
      </c>
      <c r="D26" s="26">
        <v>11</v>
      </c>
      <c r="E26" s="26">
        <v>2</v>
      </c>
      <c r="F26" s="28" t="s">
        <v>216</v>
      </c>
    </row>
    <row r="27" spans="1:6" x14ac:dyDescent="0.25">
      <c r="A27" s="26">
        <v>27</v>
      </c>
      <c r="B27" s="26" t="s">
        <v>61</v>
      </c>
      <c r="C27" s="26">
        <v>6</v>
      </c>
      <c r="D27" s="34" t="s">
        <v>69</v>
      </c>
      <c r="E27" s="26">
        <v>2</v>
      </c>
      <c r="F27" s="28" t="s">
        <v>252</v>
      </c>
    </row>
    <row r="28" spans="1:6" x14ac:dyDescent="0.25">
      <c r="A28" s="26">
        <v>28</v>
      </c>
      <c r="B28" s="26" t="s">
        <v>157</v>
      </c>
      <c r="C28" s="26">
        <v>6</v>
      </c>
      <c r="D28" s="34" t="s">
        <v>70</v>
      </c>
      <c r="E28" s="26">
        <v>2</v>
      </c>
      <c r="F28" s="28" t="s">
        <v>253</v>
      </c>
    </row>
    <row r="29" spans="1:6" x14ac:dyDescent="0.25">
      <c r="A29" s="26">
        <v>29</v>
      </c>
      <c r="B29" s="26" t="s">
        <v>74</v>
      </c>
      <c r="C29" s="26">
        <v>6</v>
      </c>
      <c r="D29" s="34" t="s">
        <v>63</v>
      </c>
      <c r="E29" s="26">
        <v>2</v>
      </c>
      <c r="F29" s="28" t="s">
        <v>254</v>
      </c>
    </row>
    <row r="30" spans="1:6" x14ac:dyDescent="0.25">
      <c r="A30" s="26">
        <v>30</v>
      </c>
      <c r="B30" s="26" t="s">
        <v>73</v>
      </c>
      <c r="C30" s="26">
        <v>6</v>
      </c>
      <c r="D30" s="34" t="s">
        <v>66</v>
      </c>
      <c r="E30" s="26">
        <v>5</v>
      </c>
      <c r="F30" s="28" t="s">
        <v>255</v>
      </c>
    </row>
    <row r="31" spans="1:6" x14ac:dyDescent="0.25">
      <c r="A31" s="26">
        <v>31</v>
      </c>
      <c r="B31" s="26" t="s">
        <v>62</v>
      </c>
      <c r="C31" s="26">
        <v>6</v>
      </c>
      <c r="D31" s="34" t="s">
        <v>69</v>
      </c>
      <c r="E31" s="26">
        <v>2</v>
      </c>
      <c r="F31" s="28" t="s">
        <v>256</v>
      </c>
    </row>
    <row r="32" spans="1:6" x14ac:dyDescent="0.25">
      <c r="A32" s="26">
        <v>32</v>
      </c>
      <c r="B32" s="26" t="s">
        <v>158</v>
      </c>
      <c r="C32" s="26">
        <v>6</v>
      </c>
      <c r="D32" s="34" t="s">
        <v>70</v>
      </c>
      <c r="E32" s="26">
        <v>2</v>
      </c>
      <c r="F32" s="28" t="s">
        <v>257</v>
      </c>
    </row>
    <row r="33" spans="1:6" x14ac:dyDescent="0.25">
      <c r="A33" s="26">
        <v>33</v>
      </c>
      <c r="B33" s="26" t="s">
        <v>87</v>
      </c>
      <c r="C33" s="26">
        <v>6</v>
      </c>
      <c r="D33" s="34" t="s">
        <v>63</v>
      </c>
      <c r="E33" s="26">
        <v>2</v>
      </c>
      <c r="F33" s="28" t="s">
        <v>258</v>
      </c>
    </row>
    <row r="34" spans="1:6" x14ac:dyDescent="0.25">
      <c r="A34" s="26">
        <v>34</v>
      </c>
      <c r="B34" s="26" t="s">
        <v>72</v>
      </c>
      <c r="C34" s="26">
        <v>6</v>
      </c>
      <c r="D34" s="34" t="s">
        <v>66</v>
      </c>
      <c r="E34" s="26">
        <v>5</v>
      </c>
      <c r="F34" s="28" t="s">
        <v>259</v>
      </c>
    </row>
    <row r="35" spans="1:6" x14ac:dyDescent="0.25">
      <c r="A35" s="26">
        <v>35</v>
      </c>
      <c r="B35" s="26" t="s">
        <v>71</v>
      </c>
      <c r="C35" s="26">
        <v>6</v>
      </c>
      <c r="D35" s="34" t="s">
        <v>76</v>
      </c>
      <c r="E35" s="26">
        <v>2</v>
      </c>
      <c r="F35" s="28" t="s">
        <v>260</v>
      </c>
    </row>
    <row r="36" spans="1:6" x14ac:dyDescent="0.25">
      <c r="A36" s="26">
        <v>36</v>
      </c>
      <c r="B36" s="26" t="s">
        <v>75</v>
      </c>
      <c r="C36" s="26">
        <v>6</v>
      </c>
      <c r="D36" s="34" t="s">
        <v>77</v>
      </c>
      <c r="E36" s="26">
        <v>2</v>
      </c>
      <c r="F36" s="28" t="s">
        <v>261</v>
      </c>
    </row>
    <row r="37" spans="1:6" x14ac:dyDescent="0.25">
      <c r="A37" s="26">
        <v>37</v>
      </c>
      <c r="B37" s="26" t="s">
        <v>61</v>
      </c>
      <c r="C37" s="26">
        <v>6</v>
      </c>
      <c r="D37" s="34" t="s">
        <v>79</v>
      </c>
      <c r="E37" s="26">
        <v>2</v>
      </c>
      <c r="F37" s="28" t="s">
        <v>262</v>
      </c>
    </row>
    <row r="38" spans="1:6" x14ac:dyDescent="0.25">
      <c r="A38" s="26">
        <v>38</v>
      </c>
      <c r="B38" s="26" t="s">
        <v>157</v>
      </c>
      <c r="C38" s="26">
        <v>6</v>
      </c>
      <c r="D38" s="34" t="s">
        <v>80</v>
      </c>
      <c r="E38" s="26">
        <v>2</v>
      </c>
      <c r="F38" s="28" t="s">
        <v>263</v>
      </c>
    </row>
    <row r="39" spans="1:6" x14ac:dyDescent="0.25">
      <c r="A39" s="26">
        <v>39</v>
      </c>
      <c r="B39" s="26" t="s">
        <v>82</v>
      </c>
      <c r="C39" s="26">
        <v>6</v>
      </c>
      <c r="D39" s="34" t="s">
        <v>64</v>
      </c>
      <c r="E39" s="26">
        <v>2</v>
      </c>
      <c r="F39" s="28" t="s">
        <v>264</v>
      </c>
    </row>
    <row r="40" spans="1:6" x14ac:dyDescent="0.25">
      <c r="A40" s="26">
        <v>40</v>
      </c>
      <c r="B40" s="26" t="s">
        <v>73</v>
      </c>
      <c r="C40" s="26">
        <v>6</v>
      </c>
      <c r="D40" s="34" t="s">
        <v>65</v>
      </c>
      <c r="E40" s="26">
        <v>5</v>
      </c>
      <c r="F40" s="28" t="s">
        <v>265</v>
      </c>
    </row>
    <row r="41" spans="1:6" x14ac:dyDescent="0.25">
      <c r="A41" s="26">
        <v>41</v>
      </c>
      <c r="B41" s="26" t="s">
        <v>62</v>
      </c>
      <c r="C41" s="26">
        <v>6</v>
      </c>
      <c r="D41" s="34" t="s">
        <v>79</v>
      </c>
      <c r="E41" s="26">
        <v>2</v>
      </c>
      <c r="F41" s="28" t="s">
        <v>266</v>
      </c>
    </row>
    <row r="42" spans="1:6" x14ac:dyDescent="0.25">
      <c r="A42" s="26">
        <v>42</v>
      </c>
      <c r="B42" s="26" t="s">
        <v>158</v>
      </c>
      <c r="C42" s="26">
        <v>6</v>
      </c>
      <c r="D42" s="34" t="s">
        <v>80</v>
      </c>
      <c r="E42" s="26">
        <v>2</v>
      </c>
      <c r="F42" s="28" t="s">
        <v>267</v>
      </c>
    </row>
    <row r="43" spans="1:6" x14ac:dyDescent="0.25">
      <c r="A43" s="26">
        <v>43</v>
      </c>
      <c r="B43" s="26" t="s">
        <v>83</v>
      </c>
      <c r="C43" s="26">
        <v>6</v>
      </c>
      <c r="D43" s="34" t="s">
        <v>64</v>
      </c>
      <c r="E43" s="26">
        <v>2</v>
      </c>
      <c r="F43" s="28" t="s">
        <v>268</v>
      </c>
    </row>
    <row r="44" spans="1:6" x14ac:dyDescent="0.25">
      <c r="A44" s="26">
        <v>44</v>
      </c>
      <c r="B44" s="26" t="s">
        <v>84</v>
      </c>
      <c r="C44" s="26">
        <v>6</v>
      </c>
      <c r="D44" s="34" t="s">
        <v>65</v>
      </c>
      <c r="E44" s="26">
        <v>5</v>
      </c>
      <c r="F44" s="28" t="s">
        <v>269</v>
      </c>
    </row>
    <row r="45" spans="1:6" x14ac:dyDescent="0.25">
      <c r="A45" s="26">
        <v>45</v>
      </c>
      <c r="B45" s="26" t="s">
        <v>85</v>
      </c>
      <c r="C45" s="26">
        <v>6</v>
      </c>
      <c r="D45" s="34" t="s">
        <v>81</v>
      </c>
      <c r="E45" s="26">
        <v>2</v>
      </c>
      <c r="F45" s="28" t="s">
        <v>270</v>
      </c>
    </row>
    <row r="46" spans="1:6" x14ac:dyDescent="0.25">
      <c r="A46" s="26">
        <v>46</v>
      </c>
      <c r="B46" s="26" t="s">
        <v>86</v>
      </c>
      <c r="C46" s="26">
        <v>6</v>
      </c>
      <c r="D46" s="34" t="s">
        <v>78</v>
      </c>
      <c r="E46" s="26">
        <v>2</v>
      </c>
      <c r="F46" s="28" t="s">
        <v>271</v>
      </c>
    </row>
    <row r="47" spans="1:6" x14ac:dyDescent="0.25">
      <c r="A47" s="26">
        <v>47</v>
      </c>
      <c r="B47" s="26" t="s">
        <v>61</v>
      </c>
      <c r="C47" s="26">
        <v>6</v>
      </c>
      <c r="D47" s="34" t="s">
        <v>88</v>
      </c>
      <c r="E47" s="26">
        <v>2</v>
      </c>
      <c r="F47" s="28" t="s">
        <v>272</v>
      </c>
    </row>
    <row r="48" spans="1:6" x14ac:dyDescent="0.25">
      <c r="A48" s="26">
        <v>48</v>
      </c>
      <c r="B48" s="26" t="s">
        <v>157</v>
      </c>
      <c r="C48" s="26">
        <v>6</v>
      </c>
      <c r="D48" s="34" t="s">
        <v>89</v>
      </c>
      <c r="E48" s="26">
        <v>2</v>
      </c>
      <c r="F48" s="28" t="s">
        <v>273</v>
      </c>
    </row>
    <row r="49" spans="1:6" x14ac:dyDescent="0.25">
      <c r="A49" s="26">
        <v>49</v>
      </c>
      <c r="B49" s="26" t="s">
        <v>94</v>
      </c>
      <c r="C49" s="26">
        <v>6</v>
      </c>
      <c r="D49" s="34" t="s">
        <v>90</v>
      </c>
      <c r="E49" s="26">
        <v>2</v>
      </c>
      <c r="F49" s="28" t="s">
        <v>274</v>
      </c>
    </row>
    <row r="50" spans="1:6" x14ac:dyDescent="0.25">
      <c r="A50" s="26">
        <v>50</v>
      </c>
      <c r="B50" s="26" t="s">
        <v>95</v>
      </c>
      <c r="C50" s="26">
        <v>6</v>
      </c>
      <c r="D50" s="34" t="s">
        <v>91</v>
      </c>
      <c r="E50" s="26">
        <v>5</v>
      </c>
      <c r="F50" s="28" t="s">
        <v>275</v>
      </c>
    </row>
    <row r="51" spans="1:6" x14ac:dyDescent="0.25">
      <c r="A51" s="26">
        <v>51</v>
      </c>
      <c r="B51" s="26" t="s">
        <v>62</v>
      </c>
      <c r="C51" s="26">
        <v>6</v>
      </c>
      <c r="D51" s="34" t="s">
        <v>88</v>
      </c>
      <c r="E51" s="26">
        <v>2</v>
      </c>
      <c r="F51" s="28" t="s">
        <v>276</v>
      </c>
    </row>
    <row r="52" spans="1:6" x14ac:dyDescent="0.25">
      <c r="A52" s="26">
        <v>52</v>
      </c>
      <c r="B52" s="26" t="s">
        <v>158</v>
      </c>
      <c r="C52" s="26">
        <v>6</v>
      </c>
      <c r="D52" s="34" t="s">
        <v>89</v>
      </c>
      <c r="E52" s="26">
        <v>2</v>
      </c>
      <c r="F52" s="28" t="s">
        <v>277</v>
      </c>
    </row>
    <row r="53" spans="1:6" x14ac:dyDescent="0.25">
      <c r="A53" s="26">
        <v>53</v>
      </c>
      <c r="B53" s="26" t="s">
        <v>96</v>
      </c>
      <c r="C53" s="26">
        <v>6</v>
      </c>
      <c r="D53" s="34" t="s">
        <v>90</v>
      </c>
      <c r="E53" s="26">
        <v>2</v>
      </c>
      <c r="F53" s="28" t="s">
        <v>278</v>
      </c>
    </row>
    <row r="54" spans="1:6" x14ac:dyDescent="0.25">
      <c r="A54" s="26">
        <v>54</v>
      </c>
      <c r="B54" s="26" t="s">
        <v>97</v>
      </c>
      <c r="C54" s="26">
        <v>6</v>
      </c>
      <c r="D54" s="34" t="s">
        <v>91</v>
      </c>
      <c r="E54" s="26">
        <v>5</v>
      </c>
      <c r="F54" s="28" t="s">
        <v>279</v>
      </c>
    </row>
    <row r="55" spans="1:6" x14ac:dyDescent="0.25">
      <c r="A55" s="26">
        <v>55</v>
      </c>
      <c r="B55" s="26" t="s">
        <v>98</v>
      </c>
      <c r="C55" s="26">
        <v>6</v>
      </c>
      <c r="D55" s="34" t="s">
        <v>92</v>
      </c>
      <c r="E55" s="26">
        <v>2</v>
      </c>
      <c r="F55" s="28" t="s">
        <v>280</v>
      </c>
    </row>
    <row r="56" spans="1:6" x14ac:dyDescent="0.25">
      <c r="A56" s="26">
        <v>56</v>
      </c>
      <c r="B56" s="26" t="s">
        <v>99</v>
      </c>
      <c r="C56" s="26">
        <v>6</v>
      </c>
      <c r="D56" s="34" t="s">
        <v>93</v>
      </c>
      <c r="E56" s="26">
        <v>2</v>
      </c>
      <c r="F56" s="28" t="s">
        <v>281</v>
      </c>
    </row>
    <row r="57" spans="1:6" x14ac:dyDescent="0.25">
      <c r="A57" s="26">
        <v>57</v>
      </c>
      <c r="B57" s="26" t="s">
        <v>61</v>
      </c>
      <c r="C57" s="26">
        <v>6</v>
      </c>
      <c r="D57" s="34" t="s">
        <v>100</v>
      </c>
      <c r="E57" s="26">
        <v>2</v>
      </c>
      <c r="F57" s="28" t="s">
        <v>282</v>
      </c>
    </row>
    <row r="58" spans="1:6" x14ac:dyDescent="0.25">
      <c r="A58" s="26">
        <v>58</v>
      </c>
      <c r="B58" s="26" t="s">
        <v>157</v>
      </c>
      <c r="C58" s="26">
        <v>6</v>
      </c>
      <c r="D58" s="34" t="s">
        <v>101</v>
      </c>
      <c r="E58" s="26">
        <v>2</v>
      </c>
      <c r="F58" s="28" t="s">
        <v>283</v>
      </c>
    </row>
    <row r="59" spans="1:6" x14ac:dyDescent="0.25">
      <c r="A59" s="26">
        <v>59</v>
      </c>
      <c r="B59" s="26" t="s">
        <v>106</v>
      </c>
      <c r="C59" s="26">
        <v>6</v>
      </c>
      <c r="D59" s="34" t="s">
        <v>102</v>
      </c>
      <c r="E59" s="26">
        <v>2</v>
      </c>
      <c r="F59" s="28" t="s">
        <v>284</v>
      </c>
    </row>
    <row r="60" spans="1:6" x14ac:dyDescent="0.25">
      <c r="A60" s="26">
        <v>60</v>
      </c>
      <c r="B60" s="26" t="s">
        <v>108</v>
      </c>
      <c r="C60" s="26">
        <v>6</v>
      </c>
      <c r="D60" s="34" t="s">
        <v>103</v>
      </c>
      <c r="E60" s="26">
        <v>5</v>
      </c>
      <c r="F60" s="28" t="s">
        <v>285</v>
      </c>
    </row>
    <row r="61" spans="1:6" x14ac:dyDescent="0.25">
      <c r="A61" s="26">
        <v>61</v>
      </c>
      <c r="B61" s="26" t="s">
        <v>62</v>
      </c>
      <c r="C61" s="26">
        <v>6</v>
      </c>
      <c r="D61" s="34" t="s">
        <v>100</v>
      </c>
      <c r="E61" s="26">
        <v>2</v>
      </c>
      <c r="F61" s="28" t="s">
        <v>286</v>
      </c>
    </row>
    <row r="62" spans="1:6" x14ac:dyDescent="0.25">
      <c r="A62" s="26">
        <v>62</v>
      </c>
      <c r="B62" s="26" t="s">
        <v>158</v>
      </c>
      <c r="C62" s="26">
        <v>6</v>
      </c>
      <c r="D62" s="34" t="s">
        <v>101</v>
      </c>
      <c r="E62" s="26">
        <v>2</v>
      </c>
      <c r="F62" s="28" t="s">
        <v>287</v>
      </c>
    </row>
    <row r="63" spans="1:6" x14ac:dyDescent="0.25">
      <c r="A63" s="26">
        <v>63</v>
      </c>
      <c r="B63" s="26" t="s">
        <v>107</v>
      </c>
      <c r="C63" s="26">
        <v>6</v>
      </c>
      <c r="D63" s="34" t="s">
        <v>102</v>
      </c>
      <c r="E63" s="26">
        <v>2</v>
      </c>
      <c r="F63" s="28" t="s">
        <v>288</v>
      </c>
    </row>
    <row r="64" spans="1:6" x14ac:dyDescent="0.25">
      <c r="A64" s="26">
        <v>64</v>
      </c>
      <c r="B64" s="26" t="s">
        <v>109</v>
      </c>
      <c r="C64" s="26">
        <v>6</v>
      </c>
      <c r="D64" s="34" t="s">
        <v>103</v>
      </c>
      <c r="E64" s="26">
        <v>5</v>
      </c>
      <c r="F64" s="28" t="s">
        <v>289</v>
      </c>
    </row>
    <row r="65" spans="1:6" x14ac:dyDescent="0.25">
      <c r="A65" s="26">
        <v>65</v>
      </c>
      <c r="B65" s="26" t="s">
        <v>110</v>
      </c>
      <c r="C65" s="26">
        <v>6</v>
      </c>
      <c r="D65" s="34" t="s">
        <v>104</v>
      </c>
      <c r="E65" s="26">
        <v>2</v>
      </c>
      <c r="F65" s="28" t="s">
        <v>290</v>
      </c>
    </row>
    <row r="66" spans="1:6" x14ac:dyDescent="0.25">
      <c r="A66" s="26">
        <v>66</v>
      </c>
      <c r="B66" s="26" t="s">
        <v>111</v>
      </c>
      <c r="C66" s="26">
        <v>6</v>
      </c>
      <c r="D66" s="34" t="s">
        <v>105</v>
      </c>
      <c r="E66" s="26">
        <v>2</v>
      </c>
      <c r="F66" s="28" t="s">
        <v>291</v>
      </c>
    </row>
    <row r="67" spans="1:6" x14ac:dyDescent="0.25">
      <c r="A67" s="26">
        <v>67</v>
      </c>
      <c r="B67" s="26" t="s">
        <v>61</v>
      </c>
      <c r="C67" s="26">
        <v>6</v>
      </c>
      <c r="D67" s="34" t="s">
        <v>112</v>
      </c>
      <c r="E67" s="26">
        <v>2</v>
      </c>
      <c r="F67" s="28" t="s">
        <v>292</v>
      </c>
    </row>
    <row r="68" spans="1:6" x14ac:dyDescent="0.25">
      <c r="A68" s="26">
        <v>68</v>
      </c>
      <c r="B68" s="26" t="s">
        <v>157</v>
      </c>
      <c r="C68" s="26">
        <v>6</v>
      </c>
      <c r="D68" s="34" t="s">
        <v>113</v>
      </c>
      <c r="E68" s="26">
        <v>2</v>
      </c>
      <c r="F68" s="28" t="s">
        <v>293</v>
      </c>
    </row>
    <row r="69" spans="1:6" x14ac:dyDescent="0.25">
      <c r="A69" s="26">
        <v>69</v>
      </c>
      <c r="B69" s="26" t="s">
        <v>118</v>
      </c>
      <c r="C69" s="26">
        <v>6</v>
      </c>
      <c r="D69" s="34" t="s">
        <v>114</v>
      </c>
      <c r="E69" s="26">
        <v>2</v>
      </c>
      <c r="F69" s="28" t="s">
        <v>294</v>
      </c>
    </row>
    <row r="70" spans="1:6" x14ac:dyDescent="0.25">
      <c r="A70" s="26">
        <v>70</v>
      </c>
      <c r="B70" s="26" t="s">
        <v>119</v>
      </c>
      <c r="C70" s="26">
        <v>6</v>
      </c>
      <c r="D70" s="34" t="s">
        <v>115</v>
      </c>
      <c r="E70" s="26">
        <v>5</v>
      </c>
      <c r="F70" s="28" t="s">
        <v>295</v>
      </c>
    </row>
    <row r="71" spans="1:6" x14ac:dyDescent="0.25">
      <c r="A71" s="26">
        <v>71</v>
      </c>
      <c r="B71" s="26" t="s">
        <v>62</v>
      </c>
      <c r="C71" s="26">
        <v>6</v>
      </c>
      <c r="D71" s="34" t="s">
        <v>112</v>
      </c>
      <c r="E71" s="26">
        <v>2</v>
      </c>
      <c r="F71" s="28" t="s">
        <v>296</v>
      </c>
    </row>
    <row r="72" spans="1:6" x14ac:dyDescent="0.25">
      <c r="A72" s="26">
        <v>72</v>
      </c>
      <c r="B72" s="26" t="s">
        <v>158</v>
      </c>
      <c r="C72" s="26">
        <v>6</v>
      </c>
      <c r="D72" s="34" t="s">
        <v>113</v>
      </c>
      <c r="E72" s="26">
        <v>2</v>
      </c>
      <c r="F72" s="28" t="s">
        <v>297</v>
      </c>
    </row>
    <row r="73" spans="1:6" x14ac:dyDescent="0.25">
      <c r="A73" s="26">
        <v>73</v>
      </c>
      <c r="B73" s="26" t="s">
        <v>120</v>
      </c>
      <c r="C73" s="26">
        <v>6</v>
      </c>
      <c r="D73" s="34" t="s">
        <v>114</v>
      </c>
      <c r="E73" s="26">
        <v>2</v>
      </c>
      <c r="F73" s="28" t="s">
        <v>298</v>
      </c>
    </row>
    <row r="74" spans="1:6" x14ac:dyDescent="0.25">
      <c r="A74" s="26">
        <v>74</v>
      </c>
      <c r="B74" s="26" t="s">
        <v>121</v>
      </c>
      <c r="C74" s="26">
        <v>6</v>
      </c>
      <c r="D74" s="34" t="s">
        <v>115</v>
      </c>
      <c r="E74" s="26">
        <v>5</v>
      </c>
      <c r="F74" s="28" t="s">
        <v>299</v>
      </c>
    </row>
    <row r="75" spans="1:6" x14ac:dyDescent="0.25">
      <c r="A75" s="26">
        <v>75</v>
      </c>
      <c r="B75" s="26" t="s">
        <v>122</v>
      </c>
      <c r="C75" s="26">
        <v>6</v>
      </c>
      <c r="D75" s="34" t="s">
        <v>116</v>
      </c>
      <c r="E75" s="26">
        <v>2</v>
      </c>
      <c r="F75" s="28" t="s">
        <v>300</v>
      </c>
    </row>
    <row r="76" spans="1:6" x14ac:dyDescent="0.25">
      <c r="A76" s="26">
        <v>76</v>
      </c>
      <c r="B76" s="26" t="s">
        <v>123</v>
      </c>
      <c r="C76" s="26">
        <v>6</v>
      </c>
      <c r="D76" s="34" t="s">
        <v>117</v>
      </c>
      <c r="E76" s="26">
        <v>2</v>
      </c>
      <c r="F76" s="28" t="s">
        <v>301</v>
      </c>
    </row>
    <row r="77" spans="1:6" x14ac:dyDescent="0.25">
      <c r="A77" s="26">
        <v>77</v>
      </c>
      <c r="B77" s="26" t="s">
        <v>61</v>
      </c>
      <c r="C77" s="26">
        <v>6</v>
      </c>
      <c r="D77" s="34" t="s">
        <v>130</v>
      </c>
      <c r="E77" s="26">
        <v>2</v>
      </c>
      <c r="F77" s="28" t="s">
        <v>302</v>
      </c>
    </row>
    <row r="78" spans="1:6" x14ac:dyDescent="0.25">
      <c r="A78" s="26">
        <v>78</v>
      </c>
      <c r="B78" s="26" t="s">
        <v>157</v>
      </c>
      <c r="C78" s="26">
        <v>6</v>
      </c>
      <c r="D78" s="34" t="s">
        <v>131</v>
      </c>
      <c r="E78" s="26">
        <v>2</v>
      </c>
      <c r="F78" s="28" t="s">
        <v>303</v>
      </c>
    </row>
    <row r="79" spans="1:6" x14ac:dyDescent="0.25">
      <c r="A79" s="26">
        <v>79</v>
      </c>
      <c r="B79" s="26" t="s">
        <v>124</v>
      </c>
      <c r="C79" s="26">
        <v>6</v>
      </c>
      <c r="D79" s="34" t="s">
        <v>132</v>
      </c>
      <c r="E79" s="26">
        <v>2</v>
      </c>
      <c r="F79" s="28" t="s">
        <v>304</v>
      </c>
    </row>
    <row r="80" spans="1:6" x14ac:dyDescent="0.25">
      <c r="A80" s="26">
        <v>80</v>
      </c>
      <c r="B80" s="26" t="s">
        <v>125</v>
      </c>
      <c r="C80" s="26">
        <v>6</v>
      </c>
      <c r="D80" s="34" t="s">
        <v>68</v>
      </c>
      <c r="E80" s="26">
        <v>5</v>
      </c>
      <c r="F80" s="28" t="s">
        <v>305</v>
      </c>
    </row>
    <row r="81" spans="1:6" x14ac:dyDescent="0.25">
      <c r="A81" s="26">
        <v>81</v>
      </c>
      <c r="B81" s="26" t="s">
        <v>62</v>
      </c>
      <c r="C81" s="26">
        <v>6</v>
      </c>
      <c r="D81" s="34" t="s">
        <v>130</v>
      </c>
      <c r="E81" s="26">
        <v>2</v>
      </c>
      <c r="F81" s="28" t="s">
        <v>306</v>
      </c>
    </row>
    <row r="82" spans="1:6" x14ac:dyDescent="0.25">
      <c r="A82" s="26">
        <v>82</v>
      </c>
      <c r="B82" s="26" t="s">
        <v>158</v>
      </c>
      <c r="C82" s="26">
        <v>6</v>
      </c>
      <c r="D82" s="34" t="s">
        <v>131</v>
      </c>
      <c r="E82" s="26">
        <v>2</v>
      </c>
      <c r="F82" s="28" t="s">
        <v>307</v>
      </c>
    </row>
    <row r="83" spans="1:6" x14ac:dyDescent="0.25">
      <c r="A83" s="26">
        <v>83</v>
      </c>
      <c r="B83" s="26" t="s">
        <v>126</v>
      </c>
      <c r="C83" s="26">
        <v>6</v>
      </c>
      <c r="D83" s="34" t="s">
        <v>132</v>
      </c>
      <c r="E83" s="26">
        <v>2</v>
      </c>
      <c r="F83" s="28" t="s">
        <v>308</v>
      </c>
    </row>
    <row r="84" spans="1:6" x14ac:dyDescent="0.25">
      <c r="A84" s="26">
        <v>84</v>
      </c>
      <c r="B84" s="26" t="s">
        <v>127</v>
      </c>
      <c r="C84" s="26">
        <v>6</v>
      </c>
      <c r="D84" s="34" t="s">
        <v>68</v>
      </c>
      <c r="E84" s="26">
        <v>5</v>
      </c>
      <c r="F84" s="28" t="s">
        <v>309</v>
      </c>
    </row>
    <row r="85" spans="1:6" x14ac:dyDescent="0.25">
      <c r="A85" s="26">
        <v>85</v>
      </c>
      <c r="B85" s="26" t="s">
        <v>128</v>
      </c>
      <c r="C85" s="26">
        <v>6</v>
      </c>
      <c r="D85" s="34" t="s">
        <v>133</v>
      </c>
      <c r="E85" s="26">
        <v>2</v>
      </c>
      <c r="F85" s="28" t="s">
        <v>310</v>
      </c>
    </row>
    <row r="86" spans="1:6" x14ac:dyDescent="0.25">
      <c r="A86" s="26">
        <v>86</v>
      </c>
      <c r="B86" s="26" t="s">
        <v>129</v>
      </c>
      <c r="C86" s="26">
        <v>6</v>
      </c>
      <c r="D86" s="34" t="s">
        <v>134</v>
      </c>
      <c r="E86" s="26">
        <v>2</v>
      </c>
      <c r="F86" s="28" t="s">
        <v>311</v>
      </c>
    </row>
    <row r="87" spans="1:6" x14ac:dyDescent="0.25">
      <c r="A87" s="26">
        <v>87</v>
      </c>
      <c r="B87" s="26" t="s">
        <v>61</v>
      </c>
      <c r="C87" s="26">
        <v>6</v>
      </c>
      <c r="D87" s="34" t="s">
        <v>135</v>
      </c>
      <c r="E87" s="26">
        <v>2</v>
      </c>
      <c r="F87" s="28" t="s">
        <v>312</v>
      </c>
    </row>
    <row r="88" spans="1:6" x14ac:dyDescent="0.25">
      <c r="A88" s="26">
        <v>88</v>
      </c>
      <c r="B88" s="26" t="s">
        <v>157</v>
      </c>
      <c r="C88" s="26">
        <v>6</v>
      </c>
      <c r="D88" s="34" t="s">
        <v>136</v>
      </c>
      <c r="E88" s="26">
        <v>2</v>
      </c>
      <c r="F88" s="28" t="s">
        <v>313</v>
      </c>
    </row>
    <row r="89" spans="1:6" x14ac:dyDescent="0.25">
      <c r="A89" s="26">
        <v>89</v>
      </c>
      <c r="B89" s="26" t="s">
        <v>140</v>
      </c>
      <c r="C89" s="26">
        <v>6</v>
      </c>
      <c r="D89" s="34" t="s">
        <v>137</v>
      </c>
      <c r="E89" s="26">
        <v>2</v>
      </c>
      <c r="F89" s="28" t="s">
        <v>314</v>
      </c>
    </row>
    <row r="90" spans="1:6" x14ac:dyDescent="0.25">
      <c r="A90" s="26">
        <v>90</v>
      </c>
      <c r="B90" s="26" t="s">
        <v>141</v>
      </c>
      <c r="C90" s="26">
        <v>6</v>
      </c>
      <c r="D90" s="34" t="s">
        <v>67</v>
      </c>
      <c r="E90" s="26">
        <v>5</v>
      </c>
      <c r="F90" s="28" t="s">
        <v>315</v>
      </c>
    </row>
    <row r="91" spans="1:6" x14ac:dyDescent="0.25">
      <c r="A91" s="26">
        <v>91</v>
      </c>
      <c r="B91" s="26" t="s">
        <v>62</v>
      </c>
      <c r="C91" s="26">
        <v>6</v>
      </c>
      <c r="D91" s="34" t="s">
        <v>135</v>
      </c>
      <c r="E91" s="26">
        <v>2</v>
      </c>
      <c r="F91" s="28" t="s">
        <v>316</v>
      </c>
    </row>
    <row r="92" spans="1:6" x14ac:dyDescent="0.25">
      <c r="A92" s="26">
        <v>92</v>
      </c>
      <c r="B92" s="26" t="s">
        <v>158</v>
      </c>
      <c r="C92" s="26">
        <v>6</v>
      </c>
      <c r="D92" s="34" t="s">
        <v>136</v>
      </c>
      <c r="E92" s="26">
        <v>2</v>
      </c>
      <c r="F92" s="28" t="s">
        <v>317</v>
      </c>
    </row>
    <row r="93" spans="1:6" x14ac:dyDescent="0.25">
      <c r="A93" s="26">
        <v>93</v>
      </c>
      <c r="B93" s="26" t="s">
        <v>142</v>
      </c>
      <c r="C93" s="26">
        <v>6</v>
      </c>
      <c r="D93" s="34" t="s">
        <v>137</v>
      </c>
      <c r="E93" s="26">
        <v>2</v>
      </c>
      <c r="F93" s="28" t="s">
        <v>318</v>
      </c>
    </row>
    <row r="94" spans="1:6" x14ac:dyDescent="0.25">
      <c r="A94" s="26">
        <v>94</v>
      </c>
      <c r="B94" s="26" t="s">
        <v>143</v>
      </c>
      <c r="C94" s="26">
        <v>6</v>
      </c>
      <c r="D94" s="34" t="s">
        <v>67</v>
      </c>
      <c r="E94" s="26">
        <v>5</v>
      </c>
      <c r="F94" s="28" t="s">
        <v>319</v>
      </c>
    </row>
    <row r="95" spans="1:6" x14ac:dyDescent="0.25">
      <c r="A95" s="26">
        <v>95</v>
      </c>
      <c r="B95" s="26" t="s">
        <v>144</v>
      </c>
      <c r="C95" s="26">
        <v>6</v>
      </c>
      <c r="D95" s="34" t="s">
        <v>138</v>
      </c>
      <c r="E95" s="26">
        <v>2</v>
      </c>
      <c r="F95" s="28" t="s">
        <v>320</v>
      </c>
    </row>
    <row r="96" spans="1:6" x14ac:dyDescent="0.25">
      <c r="A96" s="26">
        <v>96</v>
      </c>
      <c r="B96" s="26" t="s">
        <v>145</v>
      </c>
      <c r="C96" s="26">
        <v>6</v>
      </c>
      <c r="D96" s="34" t="s">
        <v>139</v>
      </c>
      <c r="E96" s="26">
        <v>2</v>
      </c>
      <c r="F96" s="28" t="s">
        <v>321</v>
      </c>
    </row>
    <row r="97" spans="1:6" x14ac:dyDescent="0.25">
      <c r="A97" s="26">
        <v>97</v>
      </c>
      <c r="B97" s="26" t="s">
        <v>146</v>
      </c>
      <c r="C97" s="26">
        <v>6</v>
      </c>
      <c r="D97" s="34">
        <v>5</v>
      </c>
      <c r="E97" s="26">
        <v>2</v>
      </c>
      <c r="F97" s="28" t="s">
        <v>322</v>
      </c>
    </row>
    <row r="98" spans="1:6" x14ac:dyDescent="0.25">
      <c r="A98" s="26">
        <v>98</v>
      </c>
      <c r="B98" s="26" t="s">
        <v>147</v>
      </c>
      <c r="C98" s="26">
        <v>6</v>
      </c>
      <c r="D98" s="34">
        <v>6</v>
      </c>
      <c r="E98" s="26">
        <v>2</v>
      </c>
      <c r="F98" s="28" t="s">
        <v>323</v>
      </c>
    </row>
    <row r="99" spans="1:6" x14ac:dyDescent="0.25">
      <c r="A99" s="26">
        <v>99</v>
      </c>
      <c r="B99" s="26" t="s">
        <v>148</v>
      </c>
      <c r="C99" s="26">
        <v>6</v>
      </c>
      <c r="D99" s="34">
        <v>7</v>
      </c>
      <c r="E99" s="26">
        <v>3</v>
      </c>
      <c r="F99" s="28" t="s">
        <v>324</v>
      </c>
    </row>
    <row r="100" spans="1:6" x14ac:dyDescent="0.25">
      <c r="A100" s="26">
        <v>100</v>
      </c>
      <c r="B100" s="26" t="s">
        <v>48</v>
      </c>
      <c r="C100" s="26">
        <v>6</v>
      </c>
      <c r="D100" s="34">
        <v>9</v>
      </c>
      <c r="E100" s="26">
        <v>8</v>
      </c>
      <c r="F100" s="28" t="s">
        <v>325</v>
      </c>
    </row>
    <row r="101" spans="1:6" x14ac:dyDescent="0.25">
      <c r="A101" s="26">
        <v>101</v>
      </c>
      <c r="B101" s="37" t="s">
        <v>172</v>
      </c>
      <c r="C101" s="26">
        <v>6</v>
      </c>
      <c r="D101" s="34">
        <v>10</v>
      </c>
      <c r="E101" s="26">
        <v>8</v>
      </c>
      <c r="F101" s="28" t="s">
        <v>326</v>
      </c>
    </row>
    <row r="102" spans="1:6" x14ac:dyDescent="0.25">
      <c r="A102" s="26">
        <v>102</v>
      </c>
      <c r="B102" s="26" t="s">
        <v>153</v>
      </c>
      <c r="C102" s="34" t="s">
        <v>30</v>
      </c>
      <c r="D102" s="26"/>
      <c r="E102" s="26">
        <v>3</v>
      </c>
      <c r="F102" s="28" t="s">
        <v>203</v>
      </c>
    </row>
    <row r="103" spans="1:6" x14ac:dyDescent="0.25">
      <c r="A103" s="26">
        <v>103</v>
      </c>
      <c r="B103" s="26" t="s">
        <v>152</v>
      </c>
      <c r="C103" s="34" t="s">
        <v>30</v>
      </c>
      <c r="D103" s="26"/>
      <c r="E103" s="26">
        <v>3</v>
      </c>
      <c r="F103" s="28" t="s">
        <v>204</v>
      </c>
    </row>
    <row r="104" spans="1:6" x14ac:dyDescent="0.25">
      <c r="A104" s="26">
        <v>104</v>
      </c>
      <c r="B104" s="26" t="s">
        <v>154</v>
      </c>
      <c r="C104" s="34" t="s">
        <v>30</v>
      </c>
      <c r="D104" s="26"/>
      <c r="E104" s="26">
        <v>10</v>
      </c>
      <c r="F104" s="28" t="s">
        <v>205</v>
      </c>
    </row>
    <row r="105" spans="1:6" x14ac:dyDescent="0.25">
      <c r="A105" s="26">
        <v>105</v>
      </c>
      <c r="B105" s="26" t="s">
        <v>328</v>
      </c>
      <c r="C105" s="34" t="s">
        <v>30</v>
      </c>
      <c r="D105" s="26"/>
      <c r="E105" s="26">
        <v>1</v>
      </c>
      <c r="F105" s="28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86"/>
  <sheetViews>
    <sheetView showGridLines="0" workbookViewId="0">
      <selection activeCell="I140" sqref="I140:I145"/>
    </sheetView>
  </sheetViews>
  <sheetFormatPr defaultColWidth="9.140625" defaultRowHeight="15" x14ac:dyDescent="0.25"/>
  <cols>
    <col min="1" max="1" width="4" bestFit="1" customWidth="1"/>
    <col min="2" max="2" width="68.5703125" bestFit="1" customWidth="1"/>
    <col min="3" max="3" width="9.42578125" bestFit="1" customWidth="1"/>
    <col min="4" max="4" width="10.28515625" bestFit="1" customWidth="1"/>
    <col min="5" max="5" width="12" bestFit="1" customWidth="1"/>
    <col min="6" max="6" width="11.140625" bestFit="1" customWidth="1"/>
    <col min="11" max="11" width="12.42578125" bestFit="1" customWidth="1"/>
  </cols>
  <sheetData>
    <row r="1" spans="1:14" x14ac:dyDescent="0.25">
      <c r="A1" s="24" t="s">
        <v>0</v>
      </c>
      <c r="B1" s="24" t="s">
        <v>1</v>
      </c>
      <c r="C1" s="25" t="s">
        <v>2</v>
      </c>
      <c r="D1" s="25" t="s">
        <v>159</v>
      </c>
      <c r="E1" s="25" t="s">
        <v>3</v>
      </c>
      <c r="F1" s="24" t="s">
        <v>174</v>
      </c>
      <c r="J1" t="s">
        <v>515</v>
      </c>
      <c r="K1" t="s">
        <v>329</v>
      </c>
      <c r="L1" t="s">
        <v>330</v>
      </c>
      <c r="M1" t="s">
        <v>331</v>
      </c>
    </row>
    <row r="2" spans="1:14" x14ac:dyDescent="0.25">
      <c r="A2" s="26">
        <v>1</v>
      </c>
      <c r="B2" s="26" t="s">
        <v>150</v>
      </c>
      <c r="C2" s="30"/>
      <c r="D2" s="26"/>
      <c r="E2" s="26">
        <v>4</v>
      </c>
      <c r="F2" s="28" t="s">
        <v>175</v>
      </c>
      <c r="G2" t="e">
        <f>VLOOKUP(F2,$K$2:$M$186,1,FALSE)</f>
        <v>#N/A</v>
      </c>
      <c r="H2" t="e">
        <f t="shared" ref="H2:H26" si="0">VLOOKUP(F2,$K$2:$M$186,2,FALSE)</f>
        <v>#N/A</v>
      </c>
      <c r="I2" t="e">
        <f t="shared" ref="I2:I26" si="1">VLOOKUP(F2,$K$2:$M$186,3,FALSE)</f>
        <v>#N/A</v>
      </c>
      <c r="J2" t="e">
        <f>E2=I2</f>
        <v>#N/A</v>
      </c>
      <c r="K2" s="39" t="s">
        <v>332</v>
      </c>
      <c r="L2" s="39" t="s">
        <v>333</v>
      </c>
      <c r="M2" s="39">
        <v>10</v>
      </c>
      <c r="N2" s="39" t="e">
        <f>VLOOKUP(K2,$F$2:$F$151,1,FALSE)</f>
        <v>#N/A</v>
      </c>
    </row>
    <row r="3" spans="1:14" x14ac:dyDescent="0.25">
      <c r="A3" s="26">
        <v>2</v>
      </c>
      <c r="B3" s="26" t="s">
        <v>23</v>
      </c>
      <c r="C3" s="34">
        <v>1</v>
      </c>
      <c r="D3" s="34">
        <v>2</v>
      </c>
      <c r="E3" s="26">
        <v>3</v>
      </c>
      <c r="F3" s="28" t="s">
        <v>176</v>
      </c>
      <c r="G3" t="e">
        <f>VLOOKUP(F3,$K$2:$M$186,1,FALSE)</f>
        <v>#N/A</v>
      </c>
      <c r="H3" t="e">
        <f t="shared" si="0"/>
        <v>#N/A</v>
      </c>
      <c r="I3" t="e">
        <f t="shared" si="1"/>
        <v>#N/A</v>
      </c>
      <c r="J3" t="e">
        <f t="shared" ref="J3:J66" si="2">E3=I3</f>
        <v>#N/A</v>
      </c>
      <c r="K3" t="s">
        <v>334</v>
      </c>
      <c r="L3" t="s">
        <v>333</v>
      </c>
      <c r="M3">
        <v>2</v>
      </c>
      <c r="N3" t="str">
        <f>VLOOKUP(K3,$F$2:$F$151,1,FALSE)</f>
        <v>qtr</v>
      </c>
    </row>
    <row r="4" spans="1:14" x14ac:dyDescent="0.25">
      <c r="A4" s="26">
        <v>3</v>
      </c>
      <c r="B4" s="26" t="s">
        <v>5</v>
      </c>
      <c r="C4" s="34"/>
      <c r="D4" s="34"/>
      <c r="E4" s="26">
        <v>2</v>
      </c>
      <c r="F4" s="28" t="s">
        <v>177</v>
      </c>
      <c r="G4" t="str">
        <f>VLOOKUP(F4,$K$2:$M$186,1,FALSE)</f>
        <v>QTR</v>
      </c>
      <c r="H4" t="str">
        <f t="shared" si="0"/>
        <v>C</v>
      </c>
      <c r="I4">
        <f t="shared" si="1"/>
        <v>2</v>
      </c>
      <c r="J4" t="b">
        <f t="shared" si="2"/>
        <v>1</v>
      </c>
      <c r="K4" t="s">
        <v>345</v>
      </c>
      <c r="L4" t="s">
        <v>333</v>
      </c>
      <c r="M4">
        <v>2</v>
      </c>
      <c r="N4" t="str">
        <f>VLOOKUP(K4,$F$2:$F$151,1,FALSE)</f>
        <v>month</v>
      </c>
    </row>
    <row r="5" spans="1:14" x14ac:dyDescent="0.25">
      <c r="A5" s="26">
        <v>4</v>
      </c>
      <c r="B5" s="26" t="s">
        <v>509</v>
      </c>
      <c r="C5" s="34"/>
      <c r="D5" s="34"/>
      <c r="E5" s="26">
        <v>2</v>
      </c>
      <c r="F5" s="28" t="s">
        <v>510</v>
      </c>
      <c r="G5" t="str">
        <f t="shared" ref="G5:G6" si="3">VLOOKUP(F5,$K$2:$M$186,1,FALSE)</f>
        <v>MONTH</v>
      </c>
      <c r="H5" t="str">
        <f t="shared" si="0"/>
        <v>C</v>
      </c>
      <c r="I5">
        <f t="shared" si="1"/>
        <v>2</v>
      </c>
      <c r="J5" t="b">
        <f t="shared" si="2"/>
        <v>1</v>
      </c>
    </row>
    <row r="6" spans="1:14" x14ac:dyDescent="0.25">
      <c r="A6" s="26">
        <v>5</v>
      </c>
      <c r="B6" s="26" t="s">
        <v>6</v>
      </c>
      <c r="C6" s="34"/>
      <c r="D6" s="34"/>
      <c r="E6" s="26">
        <v>2</v>
      </c>
      <c r="F6" s="28" t="s">
        <v>178</v>
      </c>
      <c r="G6" t="str">
        <f t="shared" si="3"/>
        <v>VISIT</v>
      </c>
      <c r="H6" t="str">
        <f t="shared" si="0"/>
        <v>C</v>
      </c>
      <c r="I6">
        <f t="shared" si="1"/>
        <v>2</v>
      </c>
      <c r="J6" t="b">
        <f t="shared" si="2"/>
        <v>1</v>
      </c>
      <c r="K6" t="s">
        <v>336</v>
      </c>
      <c r="L6" t="s">
        <v>333</v>
      </c>
      <c r="M6">
        <v>2</v>
      </c>
      <c r="N6" t="str">
        <f t="shared" ref="N6:N25" si="4">VLOOKUP(K6,$F$2:$F$151,1,FALSE)</f>
        <v>st</v>
      </c>
    </row>
    <row r="7" spans="1:14" x14ac:dyDescent="0.25">
      <c r="A7" s="26">
        <v>6</v>
      </c>
      <c r="B7" s="26" t="s">
        <v>7</v>
      </c>
      <c r="C7" s="34">
        <v>1</v>
      </c>
      <c r="D7" s="34">
        <v>3</v>
      </c>
      <c r="E7" s="26">
        <v>1</v>
      </c>
      <c r="F7" s="28" t="s">
        <v>179</v>
      </c>
      <c r="G7" t="str">
        <f t="shared" ref="G7:G26" si="5">VLOOKUP(F7,$K$2:$M$186,1,FALSE)</f>
        <v>SEC</v>
      </c>
      <c r="H7" t="str">
        <f t="shared" si="0"/>
        <v>C</v>
      </c>
      <c r="I7">
        <f t="shared" si="1"/>
        <v>1</v>
      </c>
      <c r="J7" t="b">
        <f t="shared" si="2"/>
        <v>1</v>
      </c>
      <c r="K7" t="s">
        <v>338</v>
      </c>
      <c r="L7" t="s">
        <v>333</v>
      </c>
      <c r="M7">
        <v>4</v>
      </c>
      <c r="N7" t="str">
        <f t="shared" si="4"/>
        <v>sro</v>
      </c>
    </row>
    <row r="8" spans="1:14" x14ac:dyDescent="0.25">
      <c r="A8" s="26">
        <v>7</v>
      </c>
      <c r="B8" s="26" t="s">
        <v>11</v>
      </c>
      <c r="C8" s="26"/>
      <c r="D8" s="26"/>
      <c r="E8" s="26">
        <v>2</v>
      </c>
      <c r="F8" s="28" t="s">
        <v>180</v>
      </c>
      <c r="G8" t="str">
        <f t="shared" si="5"/>
        <v>ST</v>
      </c>
      <c r="H8" t="str">
        <f t="shared" si="0"/>
        <v>C</v>
      </c>
      <c r="I8">
        <f t="shared" si="1"/>
        <v>2</v>
      </c>
      <c r="J8" t="b">
        <f t="shared" si="2"/>
        <v>1</v>
      </c>
      <c r="K8" s="39" t="s">
        <v>151</v>
      </c>
      <c r="L8" s="39" t="s">
        <v>333</v>
      </c>
      <c r="M8" s="39">
        <v>5</v>
      </c>
      <c r="N8" s="39" t="e">
        <f t="shared" si="4"/>
        <v>#N/A</v>
      </c>
    </row>
    <row r="9" spans="1:14" x14ac:dyDescent="0.25">
      <c r="A9" s="26">
        <v>8</v>
      </c>
      <c r="B9" s="31" t="s">
        <v>160</v>
      </c>
      <c r="C9" s="32">
        <v>1</v>
      </c>
      <c r="D9" s="32">
        <v>4</v>
      </c>
      <c r="E9" s="26">
        <v>2</v>
      </c>
      <c r="F9" s="28" t="s">
        <v>181</v>
      </c>
      <c r="G9" t="str">
        <f t="shared" si="5"/>
        <v>DC</v>
      </c>
      <c r="H9" t="str">
        <f t="shared" si="0"/>
        <v>C</v>
      </c>
      <c r="I9">
        <f t="shared" si="1"/>
        <v>2</v>
      </c>
      <c r="J9" t="b">
        <f t="shared" si="2"/>
        <v>1</v>
      </c>
      <c r="K9" t="s">
        <v>335</v>
      </c>
      <c r="L9" t="s">
        <v>333</v>
      </c>
      <c r="M9">
        <v>1</v>
      </c>
      <c r="N9" t="str">
        <f t="shared" si="4"/>
        <v>sec</v>
      </c>
    </row>
    <row r="10" spans="1:14" x14ac:dyDescent="0.25">
      <c r="A10" s="26">
        <v>9</v>
      </c>
      <c r="B10" s="31" t="s">
        <v>31</v>
      </c>
      <c r="C10" s="35">
        <v>1</v>
      </c>
      <c r="D10" s="35">
        <v>4</v>
      </c>
      <c r="E10" s="26">
        <v>3</v>
      </c>
      <c r="F10" s="28" t="s">
        <v>182</v>
      </c>
      <c r="G10" t="str">
        <f t="shared" si="5"/>
        <v>NSS_REG</v>
      </c>
      <c r="H10" t="str">
        <f t="shared" si="0"/>
        <v>C</v>
      </c>
      <c r="I10">
        <f t="shared" si="1"/>
        <v>3</v>
      </c>
      <c r="J10" t="b">
        <f t="shared" si="2"/>
        <v>1</v>
      </c>
      <c r="K10" t="s">
        <v>339</v>
      </c>
      <c r="L10" t="s">
        <v>333</v>
      </c>
      <c r="M10">
        <v>3</v>
      </c>
      <c r="N10" t="str">
        <f t="shared" si="4"/>
        <v>nss_reg</v>
      </c>
    </row>
    <row r="11" spans="1:14" x14ac:dyDescent="0.25">
      <c r="A11" s="26">
        <v>10</v>
      </c>
      <c r="B11" s="26" t="s">
        <v>12</v>
      </c>
      <c r="C11" s="26">
        <v>1</v>
      </c>
      <c r="D11" s="26">
        <v>5</v>
      </c>
      <c r="E11" s="26">
        <v>2</v>
      </c>
      <c r="F11" s="28" t="s">
        <v>183</v>
      </c>
      <c r="G11" t="e">
        <f t="shared" si="5"/>
        <v>#N/A</v>
      </c>
      <c r="H11" t="e">
        <f t="shared" si="0"/>
        <v>#N/A</v>
      </c>
      <c r="I11" t="e">
        <f t="shared" si="1"/>
        <v>#N/A</v>
      </c>
      <c r="J11" t="e">
        <f t="shared" si="2"/>
        <v>#N/A</v>
      </c>
      <c r="K11" t="s">
        <v>343</v>
      </c>
      <c r="L11" t="s">
        <v>333</v>
      </c>
      <c r="M11">
        <v>2</v>
      </c>
      <c r="N11" t="str">
        <f t="shared" si="4"/>
        <v>visit</v>
      </c>
    </row>
    <row r="12" spans="1:14" x14ac:dyDescent="0.25">
      <c r="A12" s="26">
        <v>11</v>
      </c>
      <c r="B12" s="26" t="s">
        <v>13</v>
      </c>
      <c r="C12" s="26">
        <v>1</v>
      </c>
      <c r="D12" s="26">
        <v>6</v>
      </c>
      <c r="E12" s="26">
        <v>2</v>
      </c>
      <c r="F12" s="28" t="s">
        <v>184</v>
      </c>
      <c r="G12" t="e">
        <f t="shared" si="5"/>
        <v>#N/A</v>
      </c>
      <c r="H12" t="e">
        <f t="shared" si="0"/>
        <v>#N/A</v>
      </c>
      <c r="I12" t="e">
        <f t="shared" si="1"/>
        <v>#N/A</v>
      </c>
      <c r="J12" t="e">
        <f t="shared" si="2"/>
        <v>#N/A</v>
      </c>
      <c r="K12" s="39" t="s">
        <v>347</v>
      </c>
      <c r="L12" s="39" t="s">
        <v>333</v>
      </c>
      <c r="M12" s="39">
        <v>1</v>
      </c>
      <c r="N12" s="39" t="e">
        <f t="shared" si="4"/>
        <v>#N/A</v>
      </c>
    </row>
    <row r="13" spans="1:14" x14ac:dyDescent="0.25">
      <c r="A13" s="26">
        <v>12</v>
      </c>
      <c r="B13" s="26" t="s">
        <v>14</v>
      </c>
      <c r="C13" s="26">
        <v>1</v>
      </c>
      <c r="D13" s="26">
        <v>11</v>
      </c>
      <c r="E13" s="26">
        <v>1</v>
      </c>
      <c r="F13" s="28" t="s">
        <v>185</v>
      </c>
      <c r="G13" t="e">
        <f t="shared" si="5"/>
        <v>#N/A</v>
      </c>
      <c r="H13" t="e">
        <f t="shared" si="0"/>
        <v>#N/A</v>
      </c>
      <c r="I13" t="e">
        <f t="shared" si="1"/>
        <v>#N/A</v>
      </c>
      <c r="J13" t="e">
        <f t="shared" si="2"/>
        <v>#N/A</v>
      </c>
      <c r="K13" t="s">
        <v>341</v>
      </c>
      <c r="L13" t="s">
        <v>333</v>
      </c>
      <c r="M13">
        <v>1</v>
      </c>
      <c r="N13" t="str">
        <f t="shared" si="4"/>
        <v>sss</v>
      </c>
    </row>
    <row r="14" spans="1:14" x14ac:dyDescent="0.25">
      <c r="A14" s="26">
        <v>13</v>
      </c>
      <c r="B14" s="26" t="s">
        <v>15</v>
      </c>
      <c r="C14" s="26">
        <v>1</v>
      </c>
      <c r="D14" s="26">
        <v>12</v>
      </c>
      <c r="E14" s="26">
        <v>4</v>
      </c>
      <c r="F14" s="28" t="s">
        <v>186</v>
      </c>
      <c r="G14" t="str">
        <f t="shared" si="5"/>
        <v>SRO</v>
      </c>
      <c r="H14" t="str">
        <f t="shared" si="0"/>
        <v>C</v>
      </c>
      <c r="I14">
        <f t="shared" si="1"/>
        <v>4</v>
      </c>
      <c r="J14" t="b">
        <f t="shared" si="2"/>
        <v>1</v>
      </c>
      <c r="K14" t="s">
        <v>342</v>
      </c>
      <c r="L14" t="s">
        <v>333</v>
      </c>
      <c r="M14">
        <v>2</v>
      </c>
      <c r="N14" t="str">
        <f t="shared" si="4"/>
        <v>ssu</v>
      </c>
    </row>
    <row r="15" spans="1:14" x14ac:dyDescent="0.25">
      <c r="A15" s="26">
        <v>14</v>
      </c>
      <c r="B15" s="26" t="s">
        <v>151</v>
      </c>
      <c r="C15" s="26">
        <v>1</v>
      </c>
      <c r="D15" s="26">
        <v>1</v>
      </c>
      <c r="E15" s="26">
        <v>5</v>
      </c>
      <c r="F15" s="28" t="s">
        <v>187</v>
      </c>
      <c r="G15" t="e">
        <f t="shared" si="5"/>
        <v>#N/A</v>
      </c>
      <c r="H15" t="e">
        <f t="shared" si="0"/>
        <v>#N/A</v>
      </c>
      <c r="I15" t="e">
        <f t="shared" si="1"/>
        <v>#N/A</v>
      </c>
      <c r="J15" t="e">
        <f t="shared" si="2"/>
        <v>#N/A</v>
      </c>
      <c r="K15" s="39" t="s">
        <v>346</v>
      </c>
      <c r="L15" s="39" t="s">
        <v>333</v>
      </c>
      <c r="M15" s="39">
        <v>2</v>
      </c>
      <c r="N15" s="39" t="e">
        <f t="shared" si="4"/>
        <v>#N/A</v>
      </c>
    </row>
    <row r="16" spans="1:14" x14ac:dyDescent="0.25">
      <c r="A16" s="26">
        <v>15</v>
      </c>
      <c r="B16" s="26" t="s">
        <v>8</v>
      </c>
      <c r="C16" s="26">
        <v>1</v>
      </c>
      <c r="D16" s="26">
        <v>13</v>
      </c>
      <c r="E16" s="26">
        <v>1</v>
      </c>
      <c r="F16" s="28" t="s">
        <v>188</v>
      </c>
      <c r="G16" t="e">
        <f t="shared" si="5"/>
        <v>#N/A</v>
      </c>
      <c r="H16" t="e">
        <f t="shared" si="0"/>
        <v>#N/A</v>
      </c>
      <c r="I16" t="e">
        <f t="shared" si="1"/>
        <v>#N/A</v>
      </c>
      <c r="J16" t="e">
        <f t="shared" si="2"/>
        <v>#N/A</v>
      </c>
      <c r="K16" s="39" t="s">
        <v>344</v>
      </c>
      <c r="L16" s="39" t="s">
        <v>333</v>
      </c>
      <c r="M16" s="39">
        <v>1</v>
      </c>
      <c r="N16" s="39" t="e">
        <f t="shared" si="4"/>
        <v>#N/A</v>
      </c>
    </row>
    <row r="17" spans="1:16" x14ac:dyDescent="0.25">
      <c r="A17" s="26">
        <v>16</v>
      </c>
      <c r="B17" s="26" t="s">
        <v>9</v>
      </c>
      <c r="C17" s="26">
        <v>1</v>
      </c>
      <c r="D17" s="26">
        <v>14</v>
      </c>
      <c r="E17" s="26">
        <v>1</v>
      </c>
      <c r="F17" s="28" t="s">
        <v>189</v>
      </c>
      <c r="G17" t="str">
        <f t="shared" si="5"/>
        <v>SSS</v>
      </c>
      <c r="H17" t="str">
        <f t="shared" si="0"/>
        <v>C</v>
      </c>
      <c r="I17">
        <f t="shared" si="1"/>
        <v>1</v>
      </c>
      <c r="J17" t="b">
        <f t="shared" si="2"/>
        <v>1</v>
      </c>
      <c r="K17" t="s">
        <v>353</v>
      </c>
      <c r="L17" t="s">
        <v>333</v>
      </c>
      <c r="M17">
        <v>2</v>
      </c>
      <c r="N17" t="str">
        <f t="shared" si="4"/>
        <v>srl</v>
      </c>
    </row>
    <row r="18" spans="1:16" x14ac:dyDescent="0.25">
      <c r="A18" s="26">
        <v>17</v>
      </c>
      <c r="B18" s="26" t="s">
        <v>10</v>
      </c>
      <c r="C18" s="26">
        <v>1</v>
      </c>
      <c r="D18" s="26">
        <v>15</v>
      </c>
      <c r="E18" s="26">
        <v>2</v>
      </c>
      <c r="F18" s="28" t="s">
        <v>190</v>
      </c>
      <c r="G18" t="str">
        <f t="shared" si="5"/>
        <v>SSU</v>
      </c>
      <c r="H18" t="str">
        <f t="shared" si="0"/>
        <v>C</v>
      </c>
      <c r="I18">
        <f t="shared" si="1"/>
        <v>2</v>
      </c>
      <c r="J18" t="b">
        <f t="shared" si="2"/>
        <v>1</v>
      </c>
      <c r="K18" s="39" t="s">
        <v>354</v>
      </c>
      <c r="L18" s="39" t="s">
        <v>333</v>
      </c>
      <c r="M18" s="39">
        <v>40</v>
      </c>
      <c r="N18" s="39" t="e">
        <f t="shared" si="4"/>
        <v>#N/A</v>
      </c>
    </row>
    <row r="19" spans="1:16" x14ac:dyDescent="0.25">
      <c r="A19" s="26">
        <v>18</v>
      </c>
      <c r="B19" s="26" t="s">
        <v>32</v>
      </c>
      <c r="C19" s="26">
        <v>4</v>
      </c>
      <c r="D19" s="26">
        <v>1</v>
      </c>
      <c r="E19" s="26">
        <v>2</v>
      </c>
      <c r="F19" s="28" t="s">
        <v>207</v>
      </c>
      <c r="G19" t="str">
        <f t="shared" si="5"/>
        <v>SRL</v>
      </c>
      <c r="H19" t="str">
        <f t="shared" si="0"/>
        <v>C</v>
      </c>
      <c r="I19">
        <f t="shared" si="1"/>
        <v>2</v>
      </c>
      <c r="J19" t="b">
        <f t="shared" si="2"/>
        <v>1</v>
      </c>
      <c r="K19" t="s">
        <v>355</v>
      </c>
      <c r="L19" t="s">
        <v>333</v>
      </c>
      <c r="M19">
        <v>1</v>
      </c>
      <c r="N19" t="str">
        <f t="shared" si="4"/>
        <v>rel</v>
      </c>
    </row>
    <row r="20" spans="1:16" x14ac:dyDescent="0.25">
      <c r="A20" s="26">
        <v>19</v>
      </c>
      <c r="B20" s="26" t="s">
        <v>33</v>
      </c>
      <c r="C20" s="26">
        <v>4</v>
      </c>
      <c r="D20" s="26">
        <v>4</v>
      </c>
      <c r="E20" s="26">
        <v>1</v>
      </c>
      <c r="F20" s="28" t="s">
        <v>208</v>
      </c>
      <c r="G20" t="str">
        <f t="shared" si="5"/>
        <v>REL</v>
      </c>
      <c r="H20" t="str">
        <f t="shared" si="0"/>
        <v>C</v>
      </c>
      <c r="I20">
        <f t="shared" si="1"/>
        <v>1</v>
      </c>
      <c r="J20" t="b">
        <f t="shared" si="2"/>
        <v>1</v>
      </c>
      <c r="K20" t="s">
        <v>356</v>
      </c>
      <c r="L20" t="s">
        <v>333</v>
      </c>
      <c r="M20">
        <v>1</v>
      </c>
      <c r="N20" t="str">
        <f t="shared" si="4"/>
        <v>sex</v>
      </c>
    </row>
    <row r="21" spans="1:16" x14ac:dyDescent="0.25">
      <c r="A21" s="26">
        <v>20</v>
      </c>
      <c r="B21" s="26" t="s">
        <v>209</v>
      </c>
      <c r="C21" s="26">
        <v>4</v>
      </c>
      <c r="D21" s="26">
        <v>5</v>
      </c>
      <c r="E21" s="26">
        <v>1</v>
      </c>
      <c r="F21" s="28" t="s">
        <v>210</v>
      </c>
      <c r="G21" t="str">
        <f t="shared" si="5"/>
        <v>SEX</v>
      </c>
      <c r="H21" t="str">
        <f t="shared" si="0"/>
        <v>C</v>
      </c>
      <c r="I21">
        <f t="shared" si="1"/>
        <v>1</v>
      </c>
      <c r="J21" t="b">
        <f t="shared" si="2"/>
        <v>1</v>
      </c>
      <c r="K21" t="s">
        <v>357</v>
      </c>
      <c r="L21" t="s">
        <v>333</v>
      </c>
      <c r="M21">
        <v>3</v>
      </c>
      <c r="N21" t="str">
        <f t="shared" si="4"/>
        <v>age</v>
      </c>
    </row>
    <row r="22" spans="1:16" x14ac:dyDescent="0.25">
      <c r="A22" s="26">
        <v>21</v>
      </c>
      <c r="B22" s="26" t="s">
        <v>34</v>
      </c>
      <c r="C22" s="26">
        <v>4</v>
      </c>
      <c r="D22" s="26">
        <v>6</v>
      </c>
      <c r="E22" s="26">
        <v>3</v>
      </c>
      <c r="F22" s="28" t="s">
        <v>211</v>
      </c>
      <c r="G22" t="str">
        <f t="shared" si="5"/>
        <v>AGE</v>
      </c>
      <c r="H22" t="str">
        <f t="shared" si="0"/>
        <v>C</v>
      </c>
      <c r="I22">
        <f t="shared" si="1"/>
        <v>3</v>
      </c>
      <c r="J22" t="b">
        <f t="shared" si="2"/>
        <v>1</v>
      </c>
      <c r="K22" t="s">
        <v>358</v>
      </c>
      <c r="L22" t="s">
        <v>333</v>
      </c>
      <c r="M22">
        <v>1</v>
      </c>
      <c r="N22" t="str">
        <f t="shared" si="4"/>
        <v>marst</v>
      </c>
    </row>
    <row r="23" spans="1:16" x14ac:dyDescent="0.25">
      <c r="A23" s="26">
        <v>22</v>
      </c>
      <c r="B23" s="26" t="s">
        <v>35</v>
      </c>
      <c r="C23" s="26">
        <v>4</v>
      </c>
      <c r="D23" s="26">
        <v>7</v>
      </c>
      <c r="E23" s="26">
        <v>1</v>
      </c>
      <c r="F23" s="28" t="s">
        <v>212</v>
      </c>
      <c r="G23" t="str">
        <f t="shared" si="5"/>
        <v>MARST</v>
      </c>
      <c r="H23" t="str">
        <f t="shared" si="0"/>
        <v>C</v>
      </c>
      <c r="I23">
        <f t="shared" si="1"/>
        <v>1</v>
      </c>
      <c r="J23" t="b">
        <f t="shared" si="2"/>
        <v>1</v>
      </c>
      <c r="K23" t="s">
        <v>359</v>
      </c>
      <c r="L23" t="s">
        <v>333</v>
      </c>
      <c r="M23">
        <v>2</v>
      </c>
      <c r="N23" t="str">
        <f t="shared" si="4"/>
        <v>gedu_lvl</v>
      </c>
    </row>
    <row r="24" spans="1:16" x14ac:dyDescent="0.25">
      <c r="A24" s="26">
        <v>23</v>
      </c>
      <c r="B24" s="26" t="s">
        <v>36</v>
      </c>
      <c r="C24" s="26">
        <v>4</v>
      </c>
      <c r="D24" s="26">
        <v>8</v>
      </c>
      <c r="E24" s="26">
        <v>2</v>
      </c>
      <c r="F24" s="28" t="s">
        <v>213</v>
      </c>
      <c r="G24" t="str">
        <f t="shared" si="5"/>
        <v>GEDU_LVL</v>
      </c>
      <c r="H24" t="str">
        <f t="shared" si="0"/>
        <v>C</v>
      </c>
      <c r="I24">
        <f t="shared" si="1"/>
        <v>2</v>
      </c>
      <c r="J24" t="b">
        <f t="shared" si="2"/>
        <v>1</v>
      </c>
      <c r="K24" t="s">
        <v>360</v>
      </c>
      <c r="L24" t="s">
        <v>333</v>
      </c>
      <c r="M24">
        <v>2</v>
      </c>
      <c r="N24" t="str">
        <f t="shared" si="4"/>
        <v>tedu_lvl</v>
      </c>
    </row>
    <row r="25" spans="1:16" x14ac:dyDescent="0.25">
      <c r="A25" s="26">
        <v>24</v>
      </c>
      <c r="B25" s="26" t="s">
        <v>37</v>
      </c>
      <c r="C25" s="26">
        <v>4</v>
      </c>
      <c r="D25" s="26">
        <v>9</v>
      </c>
      <c r="E25" s="26">
        <v>2</v>
      </c>
      <c r="F25" s="28" t="s">
        <v>214</v>
      </c>
      <c r="G25" t="str">
        <f t="shared" si="5"/>
        <v>TEDU_LVL</v>
      </c>
      <c r="H25" t="str">
        <f t="shared" si="0"/>
        <v>C</v>
      </c>
      <c r="I25">
        <f t="shared" si="1"/>
        <v>2</v>
      </c>
      <c r="J25" t="b">
        <f t="shared" si="2"/>
        <v>1</v>
      </c>
      <c r="K25" s="40" t="s">
        <v>361</v>
      </c>
      <c r="L25" s="40" t="s">
        <v>333</v>
      </c>
      <c r="M25" s="40">
        <v>2</v>
      </c>
      <c r="N25" s="40" t="str">
        <f t="shared" si="4"/>
        <v>grade</v>
      </c>
    </row>
    <row r="26" spans="1:16" x14ac:dyDescent="0.25">
      <c r="A26" s="26"/>
      <c r="B26" s="26" t="s">
        <v>527</v>
      </c>
      <c r="C26" s="26"/>
      <c r="D26" s="26"/>
      <c r="E26" s="26">
        <v>2</v>
      </c>
      <c r="F26" s="40" t="s">
        <v>520</v>
      </c>
      <c r="G26" t="str">
        <f t="shared" si="5"/>
        <v>GRADE</v>
      </c>
      <c r="H26" t="str">
        <f t="shared" si="0"/>
        <v>C</v>
      </c>
      <c r="I26">
        <f t="shared" si="1"/>
        <v>2</v>
      </c>
      <c r="J26" t="b">
        <f t="shared" si="2"/>
        <v>1</v>
      </c>
      <c r="K26" s="40"/>
      <c r="L26" s="40"/>
      <c r="M26" s="40"/>
      <c r="N26" s="40"/>
    </row>
    <row r="27" spans="1:16" x14ac:dyDescent="0.25">
      <c r="A27" s="26"/>
      <c r="B27" s="26" t="s">
        <v>528</v>
      </c>
      <c r="C27" s="26"/>
      <c r="D27" s="26"/>
      <c r="E27" s="26">
        <v>1</v>
      </c>
      <c r="F27" s="40" t="s">
        <v>516</v>
      </c>
      <c r="G27" t="str">
        <f t="shared" ref="G27:G36" si="6">VLOOKUP(F27,$K$2:$M$186,1,FALSE)</f>
        <v>YRSBEF1</v>
      </c>
      <c r="H27" t="str">
        <f t="shared" ref="H27:H37" si="7">VLOOKUP(F27,$K$2:$M$186,2,FALSE)</f>
        <v>C</v>
      </c>
      <c r="I27">
        <f t="shared" ref="I27:I38" si="8">VLOOKUP(F27,$K$2:$M$186,3,FALSE)</f>
        <v>1</v>
      </c>
      <c r="J27" t="b">
        <f t="shared" si="2"/>
        <v>1</v>
      </c>
      <c r="K27" s="40"/>
      <c r="L27" s="40"/>
      <c r="M27" s="40"/>
      <c r="N27" s="40"/>
      <c r="P27" t="str">
        <f>LOWER(F27)</f>
        <v>yrsbef1</v>
      </c>
    </row>
    <row r="28" spans="1:16" x14ac:dyDescent="0.25">
      <c r="A28" s="26"/>
      <c r="B28" s="26" t="s">
        <v>529</v>
      </c>
      <c r="C28" s="26"/>
      <c r="D28" s="26"/>
      <c r="E28" s="26">
        <v>2</v>
      </c>
      <c r="F28" s="40" t="s">
        <v>517</v>
      </c>
      <c r="G28" t="str">
        <f t="shared" si="6"/>
        <v>YRSAFT</v>
      </c>
      <c r="H28" t="str">
        <f t="shared" si="7"/>
        <v>C</v>
      </c>
      <c r="I28">
        <f t="shared" si="8"/>
        <v>2</v>
      </c>
      <c r="J28" t="b">
        <f t="shared" si="2"/>
        <v>1</v>
      </c>
      <c r="K28" s="40"/>
      <c r="L28" s="40"/>
      <c r="M28" s="40"/>
      <c r="N28" s="40"/>
      <c r="P28" t="str">
        <f t="shared" ref="P28:P30" si="9">LOWER(F28)</f>
        <v>yrsaft</v>
      </c>
    </row>
    <row r="29" spans="1:16" x14ac:dyDescent="0.25">
      <c r="A29" s="26"/>
      <c r="B29" s="26" t="s">
        <v>530</v>
      </c>
      <c r="C29" s="26"/>
      <c r="D29" s="26"/>
      <c r="E29" s="26">
        <v>1</v>
      </c>
      <c r="F29" s="40" t="s">
        <v>518</v>
      </c>
      <c r="G29" t="str">
        <f t="shared" si="6"/>
        <v>IFLASTYR</v>
      </c>
      <c r="H29" t="str">
        <f t="shared" si="7"/>
        <v>C</v>
      </c>
      <c r="I29">
        <f t="shared" si="8"/>
        <v>1</v>
      </c>
      <c r="J29" t="b">
        <f t="shared" si="2"/>
        <v>1</v>
      </c>
      <c r="K29" s="40"/>
      <c r="L29" s="40"/>
      <c r="M29" s="40"/>
      <c r="N29" s="40"/>
      <c r="P29" t="str">
        <f t="shared" si="9"/>
        <v>iflastyr</v>
      </c>
    </row>
    <row r="30" spans="1:16" x14ac:dyDescent="0.25">
      <c r="A30" s="26">
        <v>25</v>
      </c>
      <c r="B30" s="26" t="s">
        <v>531</v>
      </c>
      <c r="C30" s="26">
        <v>4</v>
      </c>
      <c r="D30" s="26">
        <v>10</v>
      </c>
      <c r="E30" s="26">
        <v>2</v>
      </c>
      <c r="F30" s="40" t="s">
        <v>519</v>
      </c>
      <c r="G30" t="str">
        <f t="shared" si="6"/>
        <v>MNTHS</v>
      </c>
      <c r="H30" t="str">
        <f t="shared" si="7"/>
        <v>C</v>
      </c>
      <c r="I30">
        <f t="shared" si="8"/>
        <v>2</v>
      </c>
      <c r="J30" t="b">
        <f t="shared" si="2"/>
        <v>1</v>
      </c>
      <c r="K30" s="40" t="s">
        <v>362</v>
      </c>
      <c r="L30" s="40" t="s">
        <v>333</v>
      </c>
      <c r="M30" s="40">
        <v>1</v>
      </c>
      <c r="N30" s="40" t="str">
        <f>VLOOKUP(K30,$F$2:$F$151,1,FALSE)</f>
        <v>yrsbef1</v>
      </c>
      <c r="P30" t="str">
        <f t="shared" si="9"/>
        <v>mnths</v>
      </c>
    </row>
    <row r="31" spans="1:16" x14ac:dyDescent="0.25">
      <c r="A31" s="26">
        <v>26</v>
      </c>
      <c r="B31" s="26" t="s">
        <v>39</v>
      </c>
      <c r="C31" s="26">
        <v>4</v>
      </c>
      <c r="D31" s="26">
        <v>11</v>
      </c>
      <c r="E31" s="26">
        <v>2</v>
      </c>
      <c r="F31" t="s">
        <v>216</v>
      </c>
      <c r="G31" t="str">
        <f t="shared" si="6"/>
        <v>CURR_ATT</v>
      </c>
      <c r="H31" t="str">
        <f t="shared" si="7"/>
        <v>C</v>
      </c>
      <c r="I31">
        <f t="shared" si="8"/>
        <v>2</v>
      </c>
      <c r="J31" t="b">
        <f t="shared" si="2"/>
        <v>1</v>
      </c>
      <c r="K31" s="40" t="s">
        <v>363</v>
      </c>
      <c r="L31" s="40" t="s">
        <v>333</v>
      </c>
      <c r="M31" s="40">
        <v>2</v>
      </c>
      <c r="N31" s="40" t="str">
        <f>VLOOKUP(K31,$F$2:$F$151,1,FALSE)</f>
        <v>yrsaft</v>
      </c>
      <c r="P31" t="str">
        <f>LOWER(F31)</f>
        <v>curr_att</v>
      </c>
    </row>
    <row r="32" spans="1:16" x14ac:dyDescent="0.25">
      <c r="A32" s="26"/>
      <c r="B32" s="26" t="s">
        <v>532</v>
      </c>
      <c r="C32" s="26"/>
      <c r="D32" s="26"/>
      <c r="E32" s="26">
        <v>2</v>
      </c>
      <c r="F32" s="40" t="s">
        <v>521</v>
      </c>
      <c r="G32" t="str">
        <f t="shared" si="6"/>
        <v>SECONDARY</v>
      </c>
      <c r="H32" t="str">
        <f t="shared" si="7"/>
        <v>C</v>
      </c>
      <c r="I32">
        <f t="shared" si="8"/>
        <v>2</v>
      </c>
      <c r="J32" t="b">
        <f t="shared" si="2"/>
        <v>1</v>
      </c>
      <c r="K32" s="40"/>
      <c r="L32" s="40"/>
      <c r="M32" s="40"/>
      <c r="N32" s="40"/>
      <c r="P32" t="str">
        <f>LOWER(F32)</f>
        <v>secondary</v>
      </c>
    </row>
    <row r="33" spans="1:16" x14ac:dyDescent="0.25">
      <c r="A33" s="26">
        <v>27</v>
      </c>
      <c r="B33" s="26" t="s">
        <v>40</v>
      </c>
      <c r="C33" s="26">
        <v>4</v>
      </c>
      <c r="D33" s="26">
        <v>12</v>
      </c>
      <c r="E33" s="26">
        <v>1</v>
      </c>
      <c r="F33" s="28" t="s">
        <v>217</v>
      </c>
      <c r="G33" t="str">
        <f t="shared" si="6"/>
        <v>VOC</v>
      </c>
      <c r="H33" t="str">
        <f t="shared" si="7"/>
        <v>C</v>
      </c>
      <c r="I33">
        <f t="shared" si="8"/>
        <v>1</v>
      </c>
      <c r="J33" t="b">
        <f t="shared" si="2"/>
        <v>1</v>
      </c>
      <c r="K33" s="40" t="s">
        <v>364</v>
      </c>
      <c r="L33" s="40" t="s">
        <v>333</v>
      </c>
      <c r="M33" s="40">
        <v>1</v>
      </c>
      <c r="N33" s="40" t="str">
        <f>VLOOKUP(K33,$F$2:$F$151,1,FALSE)</f>
        <v>iflastyr</v>
      </c>
      <c r="P33" t="str">
        <f t="shared" ref="P33:P35" si="10">LOWER(F33)</f>
        <v>voc</v>
      </c>
    </row>
    <row r="34" spans="1:16" x14ac:dyDescent="0.25">
      <c r="A34" s="26"/>
      <c r="B34" s="26" t="s">
        <v>533</v>
      </c>
      <c r="C34" s="26"/>
      <c r="D34" s="26"/>
      <c r="E34" s="26">
        <v>1</v>
      </c>
      <c r="F34" s="40" t="s">
        <v>522</v>
      </c>
      <c r="G34" t="str">
        <f t="shared" si="6"/>
        <v>TRG</v>
      </c>
      <c r="H34" t="str">
        <f t="shared" si="7"/>
        <v>C</v>
      </c>
      <c r="I34">
        <f t="shared" si="8"/>
        <v>1</v>
      </c>
      <c r="J34" t="b">
        <f t="shared" si="2"/>
        <v>1</v>
      </c>
      <c r="K34" s="40"/>
      <c r="L34" s="40"/>
      <c r="M34" s="40"/>
      <c r="N34" s="40"/>
      <c r="P34" t="str">
        <f t="shared" si="10"/>
        <v>trg</v>
      </c>
    </row>
    <row r="35" spans="1:16" x14ac:dyDescent="0.25">
      <c r="A35" s="26"/>
      <c r="B35" s="26" t="s">
        <v>534</v>
      </c>
      <c r="C35" s="26"/>
      <c r="D35" s="26"/>
      <c r="E35" s="26">
        <v>1</v>
      </c>
      <c r="F35" s="40" t="s">
        <v>523</v>
      </c>
      <c r="G35" t="str">
        <f t="shared" si="6"/>
        <v>TRG_COM</v>
      </c>
      <c r="H35" t="str">
        <f t="shared" si="7"/>
        <v>C</v>
      </c>
      <c r="I35">
        <f t="shared" si="8"/>
        <v>1</v>
      </c>
      <c r="J35" t="b">
        <f t="shared" si="2"/>
        <v>1</v>
      </c>
      <c r="K35" s="40"/>
      <c r="L35" s="40"/>
      <c r="M35" s="40"/>
      <c r="N35" s="40"/>
      <c r="P35" t="str">
        <f t="shared" si="10"/>
        <v>trg_com</v>
      </c>
    </row>
    <row r="36" spans="1:16" x14ac:dyDescent="0.25">
      <c r="A36" s="26">
        <v>28</v>
      </c>
      <c r="B36" s="26" t="s">
        <v>41</v>
      </c>
      <c r="C36" s="26">
        <v>4.0999999999999996</v>
      </c>
      <c r="D36" s="26">
        <v>3</v>
      </c>
      <c r="E36" s="26">
        <v>1</v>
      </c>
      <c r="F36" s="28" t="s">
        <v>218</v>
      </c>
      <c r="G36" t="str">
        <f t="shared" si="6"/>
        <v>VOC_COMPL</v>
      </c>
      <c r="H36" t="str">
        <f t="shared" si="7"/>
        <v>C</v>
      </c>
      <c r="I36">
        <f t="shared" si="8"/>
        <v>1</v>
      </c>
      <c r="J36" t="b">
        <f t="shared" si="2"/>
        <v>1</v>
      </c>
      <c r="K36" s="40" t="s">
        <v>365</v>
      </c>
      <c r="L36" s="40" t="s">
        <v>333</v>
      </c>
      <c r="M36" s="40">
        <v>2</v>
      </c>
      <c r="N36" s="40" t="str">
        <f>VLOOKUP(K36,$F$2:$F$151,1,FALSE)</f>
        <v>mnths</v>
      </c>
    </row>
    <row r="37" spans="1:16" x14ac:dyDescent="0.25">
      <c r="A37" s="26">
        <v>29</v>
      </c>
      <c r="B37" s="26" t="s">
        <v>42</v>
      </c>
      <c r="C37" s="26">
        <v>4.0999999999999996</v>
      </c>
      <c r="D37" s="26">
        <v>4</v>
      </c>
      <c r="E37" s="26">
        <v>2</v>
      </c>
      <c r="F37" s="28" t="s">
        <v>219</v>
      </c>
      <c r="G37" t="str">
        <f t="shared" ref="G37:G68" si="11">VLOOKUP(F37,$K$2:$M$186,1,FALSE)</f>
        <v>VOC_FLD</v>
      </c>
      <c r="H37" t="str">
        <f t="shared" si="7"/>
        <v>C</v>
      </c>
      <c r="I37">
        <f t="shared" si="8"/>
        <v>2</v>
      </c>
      <c r="J37" t="b">
        <f t="shared" si="2"/>
        <v>1</v>
      </c>
      <c r="K37" t="s">
        <v>366</v>
      </c>
      <c r="L37" t="s">
        <v>333</v>
      </c>
      <c r="M37">
        <v>2</v>
      </c>
      <c r="N37" t="str">
        <f>VLOOKUP(K37,$F$2:$F$151,1,FALSE)</f>
        <v>curr_att</v>
      </c>
    </row>
    <row r="38" spans="1:16" x14ac:dyDescent="0.25">
      <c r="A38" s="26">
        <v>30</v>
      </c>
      <c r="B38" s="26" t="s">
        <v>43</v>
      </c>
      <c r="C38" s="26">
        <v>4.0999999999999996</v>
      </c>
      <c r="D38" s="26">
        <v>5</v>
      </c>
      <c r="E38" s="26">
        <v>1</v>
      </c>
      <c r="F38" s="28" t="s">
        <v>220</v>
      </c>
      <c r="G38" t="str">
        <f t="shared" si="11"/>
        <v>VOC_DUR</v>
      </c>
      <c r="H38" t="str">
        <f>VLOOKUP(F38,$K$2:$M$186,2,FALSE)</f>
        <v>C</v>
      </c>
      <c r="I38">
        <f t="shared" si="8"/>
        <v>1</v>
      </c>
      <c r="J38" t="b">
        <f t="shared" si="2"/>
        <v>1</v>
      </c>
      <c r="K38" s="40" t="s">
        <v>367</v>
      </c>
      <c r="L38" s="40" t="s">
        <v>333</v>
      </c>
      <c r="M38" s="40">
        <v>2</v>
      </c>
      <c r="N38" s="40" t="str">
        <f>VLOOKUP(K38,$F$2:$F$151,1,FALSE)</f>
        <v>secondary</v>
      </c>
    </row>
    <row r="39" spans="1:16" x14ac:dyDescent="0.25">
      <c r="A39" s="26">
        <v>31</v>
      </c>
      <c r="B39" s="26" t="s">
        <v>44</v>
      </c>
      <c r="C39" s="26">
        <v>4.0999999999999996</v>
      </c>
      <c r="D39" s="26">
        <v>6</v>
      </c>
      <c r="E39" s="26">
        <v>1</v>
      </c>
      <c r="F39" s="28" t="s">
        <v>221</v>
      </c>
      <c r="G39" t="str">
        <f t="shared" si="11"/>
        <v>VOC_TYP</v>
      </c>
      <c r="H39" t="str">
        <f>VLOOKUP(F39,$K$2:$M$186,2,FALSE)</f>
        <v>C</v>
      </c>
      <c r="I39">
        <f>VLOOKUP(F39,$K$2:$M$186,3,FALSE)</f>
        <v>1</v>
      </c>
      <c r="J39" t="b">
        <f t="shared" si="2"/>
        <v>1</v>
      </c>
      <c r="K39" t="s">
        <v>368</v>
      </c>
      <c r="L39" t="s">
        <v>333</v>
      </c>
      <c r="M39">
        <v>1</v>
      </c>
      <c r="N39" t="str">
        <f>VLOOKUP(K39,$F$2:$F$151,1,FALSE)</f>
        <v>voc</v>
      </c>
    </row>
    <row r="40" spans="1:16" x14ac:dyDescent="0.25">
      <c r="A40" s="26">
        <v>32</v>
      </c>
      <c r="B40" s="26" t="s">
        <v>45</v>
      </c>
      <c r="C40" s="26">
        <v>4.0999999999999996</v>
      </c>
      <c r="D40" s="26">
        <v>7</v>
      </c>
      <c r="E40" s="26">
        <v>1</v>
      </c>
      <c r="F40" s="28" t="s">
        <v>222</v>
      </c>
      <c r="G40" t="str">
        <f t="shared" si="11"/>
        <v>VOC_FUND</v>
      </c>
      <c r="H40" t="str">
        <f>VLOOKUP(F40,$K$2:$M$186,2,FALSE)</f>
        <v>C</v>
      </c>
      <c r="I40">
        <f>VLOOKUP(F40,$K$2:$M$186,3,FALSE)</f>
        <v>1</v>
      </c>
      <c r="J40" t="b">
        <f t="shared" si="2"/>
        <v>1</v>
      </c>
      <c r="K40" s="40" t="s">
        <v>369</v>
      </c>
      <c r="L40" s="40" t="s">
        <v>333</v>
      </c>
      <c r="M40" s="40">
        <v>1</v>
      </c>
      <c r="N40" s="40" t="str">
        <f>VLOOKUP(K40,$F$2:$F$151,1,FALSE)</f>
        <v>trg</v>
      </c>
    </row>
    <row r="41" spans="1:16" x14ac:dyDescent="0.25">
      <c r="A41" s="26"/>
      <c r="B41" s="26" t="s">
        <v>535</v>
      </c>
      <c r="C41" s="26"/>
      <c r="D41" s="26"/>
      <c r="E41" s="26">
        <v>1</v>
      </c>
      <c r="F41" s="40" t="s">
        <v>524</v>
      </c>
      <c r="G41" t="str">
        <f t="shared" si="11"/>
        <v>VOC_CERT</v>
      </c>
      <c r="H41" t="str">
        <f t="shared" ref="H41:H42" si="12">VLOOKUP(F41,$K$2:$M$186,2,FALSE)</f>
        <v>C</v>
      </c>
      <c r="I41">
        <f t="shared" ref="I41:I42" si="13">VLOOKUP(F41,$K$2:$M$186,3,FALSE)</f>
        <v>1</v>
      </c>
      <c r="J41" t="b">
        <f t="shared" si="2"/>
        <v>1</v>
      </c>
      <c r="K41" s="40"/>
      <c r="L41" s="40"/>
      <c r="M41" s="40"/>
      <c r="N41" s="40"/>
      <c r="P41" t="str">
        <f t="shared" ref="P41" si="14">LOWER(F41)</f>
        <v>voc_cert</v>
      </c>
    </row>
    <row r="42" spans="1:16" x14ac:dyDescent="0.25">
      <c r="A42" s="26">
        <v>33</v>
      </c>
      <c r="B42" s="26" t="s">
        <v>46</v>
      </c>
      <c r="C42" s="26">
        <v>5.0999999999999996</v>
      </c>
      <c r="D42" s="26">
        <v>3</v>
      </c>
      <c r="E42" s="26">
        <v>2</v>
      </c>
      <c r="F42" s="28" t="s">
        <v>223</v>
      </c>
      <c r="G42" t="str">
        <f t="shared" si="11"/>
        <v>PAS</v>
      </c>
      <c r="H42" t="str">
        <f t="shared" si="12"/>
        <v>C</v>
      </c>
      <c r="I42">
        <f t="shared" si="13"/>
        <v>2</v>
      </c>
      <c r="J42" t="b">
        <f t="shared" si="2"/>
        <v>1</v>
      </c>
      <c r="K42" s="40" t="s">
        <v>370</v>
      </c>
      <c r="L42" s="40" t="s">
        <v>333</v>
      </c>
      <c r="M42" s="40">
        <v>1</v>
      </c>
      <c r="N42" s="40" t="str">
        <f t="shared" ref="N42:N73" si="15">VLOOKUP(K42,$F$2:$F$151,1,FALSE)</f>
        <v>trg_com</v>
      </c>
    </row>
    <row r="43" spans="1:16" x14ac:dyDescent="0.25">
      <c r="A43" s="26">
        <v>34</v>
      </c>
      <c r="B43" s="26" t="s">
        <v>155</v>
      </c>
      <c r="C43" s="26">
        <v>5.0999999999999996</v>
      </c>
      <c r="D43" s="26">
        <v>5</v>
      </c>
      <c r="E43" s="26">
        <v>5</v>
      </c>
      <c r="F43" s="28" t="s">
        <v>224</v>
      </c>
      <c r="G43" t="str">
        <f t="shared" si="11"/>
        <v>IND_PAS</v>
      </c>
      <c r="H43" t="str">
        <f t="shared" ref="H43:H74" si="16">VLOOKUP(F43,$K$2:$M$186,2,FALSE)</f>
        <v>C</v>
      </c>
      <c r="I43">
        <f t="shared" ref="I43:I74" si="17">VLOOKUP(F43,$K$2:$M$186,3,FALSE)</f>
        <v>5</v>
      </c>
      <c r="J43" t="b">
        <f t="shared" si="2"/>
        <v>1</v>
      </c>
      <c r="K43" t="s">
        <v>371</v>
      </c>
      <c r="L43" t="s">
        <v>333</v>
      </c>
      <c r="M43">
        <v>1</v>
      </c>
      <c r="N43" t="str">
        <f t="shared" si="15"/>
        <v>voc_compl</v>
      </c>
    </row>
    <row r="44" spans="1:16" x14ac:dyDescent="0.25">
      <c r="A44" s="26">
        <v>35</v>
      </c>
      <c r="B44" s="26" t="s">
        <v>156</v>
      </c>
      <c r="C44" s="26">
        <v>5.0999999999999996</v>
      </c>
      <c r="D44" s="26">
        <v>6</v>
      </c>
      <c r="E44" s="26">
        <v>3</v>
      </c>
      <c r="F44" s="28" t="s">
        <v>225</v>
      </c>
      <c r="G44" t="str">
        <f t="shared" si="11"/>
        <v>OCU_PAS</v>
      </c>
      <c r="H44" t="str">
        <f t="shared" si="16"/>
        <v>C</v>
      </c>
      <c r="I44">
        <f t="shared" si="17"/>
        <v>3</v>
      </c>
      <c r="J44" t="b">
        <f t="shared" si="2"/>
        <v>1</v>
      </c>
      <c r="K44" t="s">
        <v>372</v>
      </c>
      <c r="L44" t="s">
        <v>333</v>
      </c>
      <c r="M44">
        <v>2</v>
      </c>
      <c r="N44" t="str">
        <f t="shared" si="15"/>
        <v>voc_fld</v>
      </c>
    </row>
    <row r="45" spans="1:16" x14ac:dyDescent="0.25">
      <c r="A45" s="26">
        <v>36</v>
      </c>
      <c r="B45" s="26" t="s">
        <v>47</v>
      </c>
      <c r="C45" s="26">
        <v>5.0999999999999996</v>
      </c>
      <c r="D45" s="26">
        <v>7</v>
      </c>
      <c r="E45" s="26">
        <v>1</v>
      </c>
      <c r="F45" s="28" t="s">
        <v>226</v>
      </c>
      <c r="G45" t="str">
        <f t="shared" si="11"/>
        <v>HAS_SAS</v>
      </c>
      <c r="H45" t="str">
        <f t="shared" si="16"/>
        <v>C</v>
      </c>
      <c r="I45">
        <f t="shared" si="17"/>
        <v>1</v>
      </c>
      <c r="J45" t="b">
        <f t="shared" si="2"/>
        <v>1</v>
      </c>
      <c r="K45" t="s">
        <v>373</v>
      </c>
      <c r="L45" t="s">
        <v>333</v>
      </c>
      <c r="M45">
        <v>1</v>
      </c>
      <c r="N45" t="str">
        <f t="shared" si="15"/>
        <v>voc_dur</v>
      </c>
    </row>
    <row r="46" spans="1:16" x14ac:dyDescent="0.25">
      <c r="A46" s="26">
        <v>37</v>
      </c>
      <c r="B46" s="26" t="s">
        <v>49</v>
      </c>
      <c r="C46" s="26">
        <v>5.0999999999999996</v>
      </c>
      <c r="D46" s="26">
        <v>8</v>
      </c>
      <c r="E46" s="26">
        <v>2</v>
      </c>
      <c r="F46" s="28" t="s">
        <v>227</v>
      </c>
      <c r="G46" t="str">
        <f t="shared" si="11"/>
        <v>LOC_PAS</v>
      </c>
      <c r="H46" t="str">
        <f t="shared" si="16"/>
        <v>C</v>
      </c>
      <c r="I46">
        <f t="shared" si="17"/>
        <v>2</v>
      </c>
      <c r="J46" t="b">
        <f t="shared" si="2"/>
        <v>1</v>
      </c>
      <c r="K46" t="s">
        <v>374</v>
      </c>
      <c r="L46" t="s">
        <v>333</v>
      </c>
      <c r="M46">
        <v>1</v>
      </c>
      <c r="N46" t="str">
        <f t="shared" si="15"/>
        <v>voc_typ</v>
      </c>
    </row>
    <row r="47" spans="1:16" x14ac:dyDescent="0.25">
      <c r="A47" s="26">
        <v>38</v>
      </c>
      <c r="B47" s="26" t="s">
        <v>50</v>
      </c>
      <c r="C47" s="26">
        <v>5.0999999999999996</v>
      </c>
      <c r="D47" s="26">
        <v>9</v>
      </c>
      <c r="E47" s="26">
        <v>2</v>
      </c>
      <c r="F47" s="28" t="s">
        <v>228</v>
      </c>
      <c r="G47" t="str">
        <f t="shared" si="11"/>
        <v>ETYP_PAS</v>
      </c>
      <c r="H47" t="str">
        <f t="shared" si="16"/>
        <v>C</v>
      </c>
      <c r="I47">
        <f t="shared" si="17"/>
        <v>2</v>
      </c>
      <c r="J47" t="b">
        <f t="shared" si="2"/>
        <v>1</v>
      </c>
      <c r="K47" t="s">
        <v>375</v>
      </c>
      <c r="L47" t="s">
        <v>333</v>
      </c>
      <c r="M47">
        <v>1</v>
      </c>
      <c r="N47" t="str">
        <f t="shared" si="15"/>
        <v>voc_fund</v>
      </c>
    </row>
    <row r="48" spans="1:16" x14ac:dyDescent="0.25">
      <c r="A48" s="26">
        <v>39</v>
      </c>
      <c r="B48" s="26" t="s">
        <v>51</v>
      </c>
      <c r="C48" s="26">
        <v>5.0999999999999996</v>
      </c>
      <c r="D48" s="26">
        <v>10</v>
      </c>
      <c r="E48" s="26">
        <v>1</v>
      </c>
      <c r="F48" s="28" t="s">
        <v>229</v>
      </c>
      <c r="G48" t="str">
        <f t="shared" si="11"/>
        <v>WRKR_PAS</v>
      </c>
      <c r="H48" t="str">
        <f t="shared" si="16"/>
        <v>C</v>
      </c>
      <c r="I48">
        <f t="shared" si="17"/>
        <v>1</v>
      </c>
      <c r="J48" t="b">
        <f t="shared" si="2"/>
        <v>1</v>
      </c>
      <c r="K48" s="40" t="s">
        <v>376</v>
      </c>
      <c r="L48" s="40" t="s">
        <v>333</v>
      </c>
      <c r="M48" s="40">
        <v>1</v>
      </c>
      <c r="N48" s="40" t="str">
        <f t="shared" si="15"/>
        <v>voc_cert</v>
      </c>
    </row>
    <row r="49" spans="1:14" x14ac:dyDescent="0.25">
      <c r="A49" s="26">
        <v>40</v>
      </c>
      <c r="B49" s="26" t="s">
        <v>52</v>
      </c>
      <c r="C49" s="26">
        <v>5.0999999999999996</v>
      </c>
      <c r="D49" s="26">
        <v>11</v>
      </c>
      <c r="E49" s="26">
        <v>1</v>
      </c>
      <c r="F49" s="28" t="s">
        <v>230</v>
      </c>
      <c r="G49" t="str">
        <f t="shared" si="11"/>
        <v>JOB_PAS</v>
      </c>
      <c r="H49" t="str">
        <f t="shared" si="16"/>
        <v>C</v>
      </c>
      <c r="I49">
        <f t="shared" si="17"/>
        <v>1</v>
      </c>
      <c r="J49" t="b">
        <f t="shared" si="2"/>
        <v>1</v>
      </c>
      <c r="K49" t="s">
        <v>377</v>
      </c>
      <c r="L49" t="s">
        <v>333</v>
      </c>
      <c r="M49">
        <v>2</v>
      </c>
      <c r="N49" t="str">
        <f t="shared" si="15"/>
        <v>pas</v>
      </c>
    </row>
    <row r="50" spans="1:14" x14ac:dyDescent="0.25">
      <c r="A50" s="26">
        <v>41</v>
      </c>
      <c r="B50" s="26" t="s">
        <v>53</v>
      </c>
      <c r="C50" s="26">
        <v>5.0999999999999996</v>
      </c>
      <c r="D50" s="26">
        <v>12</v>
      </c>
      <c r="E50" s="26">
        <v>1</v>
      </c>
      <c r="F50" s="28" t="s">
        <v>231</v>
      </c>
      <c r="G50" t="str">
        <f t="shared" si="11"/>
        <v>LEAVE_PAS</v>
      </c>
      <c r="H50" t="str">
        <f t="shared" si="16"/>
        <v>C</v>
      </c>
      <c r="I50">
        <f t="shared" si="17"/>
        <v>1</v>
      </c>
      <c r="J50" t="b">
        <f t="shared" si="2"/>
        <v>1</v>
      </c>
      <c r="K50" s="39" t="s">
        <v>378</v>
      </c>
      <c r="L50" s="39" t="s">
        <v>333</v>
      </c>
      <c r="M50" s="39">
        <v>100</v>
      </c>
      <c r="N50" s="39" t="e">
        <f t="shared" si="15"/>
        <v>#N/A</v>
      </c>
    </row>
    <row r="51" spans="1:14" x14ac:dyDescent="0.25">
      <c r="A51" s="26">
        <v>42</v>
      </c>
      <c r="B51" s="26" t="s">
        <v>54</v>
      </c>
      <c r="C51" s="26">
        <v>5.0999999999999996</v>
      </c>
      <c r="D51" s="26">
        <v>13</v>
      </c>
      <c r="E51" s="26">
        <v>1</v>
      </c>
      <c r="F51" s="28" t="s">
        <v>232</v>
      </c>
      <c r="G51" t="str">
        <f t="shared" si="11"/>
        <v>SSEC_PAS</v>
      </c>
      <c r="H51" t="str">
        <f t="shared" si="16"/>
        <v>C</v>
      </c>
      <c r="I51">
        <f t="shared" si="17"/>
        <v>1</v>
      </c>
      <c r="J51" t="b">
        <f t="shared" si="2"/>
        <v>1</v>
      </c>
      <c r="K51" s="39" t="s">
        <v>379</v>
      </c>
      <c r="L51" s="39" t="s">
        <v>333</v>
      </c>
      <c r="M51" s="39">
        <v>1</v>
      </c>
      <c r="N51" s="39" t="e">
        <f t="shared" si="15"/>
        <v>#N/A</v>
      </c>
    </row>
    <row r="52" spans="1:14" x14ac:dyDescent="0.25">
      <c r="A52" s="26">
        <v>43</v>
      </c>
      <c r="B52" s="26" t="s">
        <v>161</v>
      </c>
      <c r="C52" s="26">
        <v>5.0999999999999996</v>
      </c>
      <c r="D52" s="26">
        <v>14</v>
      </c>
      <c r="E52" s="26">
        <v>1</v>
      </c>
      <c r="F52" s="28" t="s">
        <v>233</v>
      </c>
      <c r="G52" t="str">
        <f t="shared" si="11"/>
        <v>ECOPRD_PAS</v>
      </c>
      <c r="H52" t="str">
        <f t="shared" si="16"/>
        <v>C</v>
      </c>
      <c r="I52">
        <f t="shared" si="17"/>
        <v>1</v>
      </c>
      <c r="J52" t="b">
        <f t="shared" si="2"/>
        <v>1</v>
      </c>
      <c r="K52" t="s">
        <v>380</v>
      </c>
      <c r="L52" t="s">
        <v>333</v>
      </c>
      <c r="M52">
        <v>5</v>
      </c>
      <c r="N52" t="str">
        <f t="shared" si="15"/>
        <v>ind_pas</v>
      </c>
    </row>
    <row r="53" spans="1:14" x14ac:dyDescent="0.25">
      <c r="A53" s="26">
        <v>44</v>
      </c>
      <c r="B53" s="26" t="s">
        <v>46</v>
      </c>
      <c r="C53" s="26">
        <v>5.2</v>
      </c>
      <c r="D53" s="26">
        <v>3</v>
      </c>
      <c r="E53" s="26">
        <v>2</v>
      </c>
      <c r="F53" s="28" t="s">
        <v>234</v>
      </c>
      <c r="G53" t="str">
        <f t="shared" si="11"/>
        <v>SAS</v>
      </c>
      <c r="H53" t="str">
        <f t="shared" si="16"/>
        <v>C</v>
      </c>
      <c r="I53">
        <f t="shared" si="17"/>
        <v>2</v>
      </c>
      <c r="J53" t="b">
        <f t="shared" si="2"/>
        <v>1</v>
      </c>
      <c r="K53" t="s">
        <v>381</v>
      </c>
      <c r="L53" t="s">
        <v>333</v>
      </c>
      <c r="M53">
        <v>3</v>
      </c>
      <c r="N53" t="str">
        <f t="shared" si="15"/>
        <v>ocu_pas</v>
      </c>
    </row>
    <row r="54" spans="1:14" x14ac:dyDescent="0.25">
      <c r="A54" s="26">
        <v>45</v>
      </c>
      <c r="B54" s="26" t="s">
        <v>155</v>
      </c>
      <c r="C54" s="26">
        <v>5.2</v>
      </c>
      <c r="D54" s="26">
        <v>5</v>
      </c>
      <c r="E54" s="26">
        <v>5</v>
      </c>
      <c r="F54" s="28" t="s">
        <v>235</v>
      </c>
      <c r="G54" t="str">
        <f t="shared" si="11"/>
        <v>IND_SAS</v>
      </c>
      <c r="H54" t="str">
        <f t="shared" si="16"/>
        <v>C</v>
      </c>
      <c r="I54">
        <f t="shared" si="17"/>
        <v>5</v>
      </c>
      <c r="J54" t="b">
        <f t="shared" si="2"/>
        <v>1</v>
      </c>
      <c r="K54" t="s">
        <v>382</v>
      </c>
      <c r="L54" t="s">
        <v>333</v>
      </c>
      <c r="M54">
        <v>1</v>
      </c>
      <c r="N54" t="str">
        <f t="shared" si="15"/>
        <v>has_sas</v>
      </c>
    </row>
    <row r="55" spans="1:14" x14ac:dyDescent="0.25">
      <c r="A55" s="26">
        <v>46</v>
      </c>
      <c r="B55" s="26" t="s">
        <v>156</v>
      </c>
      <c r="C55" s="26">
        <v>5.2</v>
      </c>
      <c r="D55" s="26">
        <v>6</v>
      </c>
      <c r="E55" s="26">
        <v>3</v>
      </c>
      <c r="F55" s="28" t="s">
        <v>236</v>
      </c>
      <c r="G55" t="str">
        <f t="shared" si="11"/>
        <v>OCU_SAS</v>
      </c>
      <c r="H55" t="str">
        <f t="shared" si="16"/>
        <v>C</v>
      </c>
      <c r="I55">
        <f t="shared" si="17"/>
        <v>3</v>
      </c>
      <c r="J55" t="b">
        <f t="shared" si="2"/>
        <v>1</v>
      </c>
      <c r="K55" t="s">
        <v>383</v>
      </c>
      <c r="L55" t="s">
        <v>333</v>
      </c>
      <c r="M55">
        <v>2</v>
      </c>
      <c r="N55" t="str">
        <f t="shared" si="15"/>
        <v>loc_pas</v>
      </c>
    </row>
    <row r="56" spans="1:14" x14ac:dyDescent="0.25">
      <c r="A56" s="26">
        <v>47</v>
      </c>
      <c r="B56" s="26" t="s">
        <v>55</v>
      </c>
      <c r="C56" s="26">
        <v>5.2</v>
      </c>
      <c r="D56" s="26">
        <v>7</v>
      </c>
      <c r="E56" s="26">
        <v>2</v>
      </c>
      <c r="F56" s="28" t="s">
        <v>237</v>
      </c>
      <c r="G56" t="str">
        <f t="shared" si="11"/>
        <v>LOC_SAS</v>
      </c>
      <c r="H56" t="str">
        <f t="shared" si="16"/>
        <v>C</v>
      </c>
      <c r="I56">
        <f t="shared" si="17"/>
        <v>2</v>
      </c>
      <c r="J56" t="b">
        <f t="shared" si="2"/>
        <v>1</v>
      </c>
      <c r="K56" t="s">
        <v>384</v>
      </c>
      <c r="L56" t="s">
        <v>333</v>
      </c>
      <c r="M56">
        <v>2</v>
      </c>
      <c r="N56" t="str">
        <f t="shared" si="15"/>
        <v>etyp_pas</v>
      </c>
    </row>
    <row r="57" spans="1:14" x14ac:dyDescent="0.25">
      <c r="A57" s="26">
        <v>48</v>
      </c>
      <c r="B57" s="26" t="s">
        <v>56</v>
      </c>
      <c r="C57" s="26">
        <v>5.2</v>
      </c>
      <c r="D57" s="26">
        <v>8</v>
      </c>
      <c r="E57" s="26">
        <v>2</v>
      </c>
      <c r="F57" s="28" t="s">
        <v>238</v>
      </c>
      <c r="G57" t="str">
        <f t="shared" si="11"/>
        <v>ETYP_SAS</v>
      </c>
      <c r="H57" t="str">
        <f t="shared" si="16"/>
        <v>C</v>
      </c>
      <c r="I57">
        <f t="shared" si="17"/>
        <v>2</v>
      </c>
      <c r="J57" t="b">
        <f t="shared" si="2"/>
        <v>1</v>
      </c>
      <c r="K57" t="s">
        <v>385</v>
      </c>
      <c r="L57" t="s">
        <v>333</v>
      </c>
      <c r="M57">
        <v>1</v>
      </c>
      <c r="N57" t="str">
        <f t="shared" si="15"/>
        <v>wrkr_pas</v>
      </c>
    </row>
    <row r="58" spans="1:14" x14ac:dyDescent="0.25">
      <c r="A58" s="26">
        <v>49</v>
      </c>
      <c r="B58" s="26" t="s">
        <v>57</v>
      </c>
      <c r="C58" s="26">
        <v>5.2</v>
      </c>
      <c r="D58" s="26">
        <v>9</v>
      </c>
      <c r="E58" s="26">
        <v>1</v>
      </c>
      <c r="F58" s="28" t="s">
        <v>239</v>
      </c>
      <c r="G58" t="str">
        <f t="shared" si="11"/>
        <v>WRKR_SAS</v>
      </c>
      <c r="H58" t="str">
        <f t="shared" si="16"/>
        <v>C</v>
      </c>
      <c r="I58">
        <f t="shared" si="17"/>
        <v>1</v>
      </c>
      <c r="J58" t="b">
        <f t="shared" si="2"/>
        <v>1</v>
      </c>
      <c r="K58" t="s">
        <v>386</v>
      </c>
      <c r="L58" t="s">
        <v>333</v>
      </c>
      <c r="M58">
        <v>1</v>
      </c>
      <c r="N58" t="str">
        <f t="shared" si="15"/>
        <v>job_pas</v>
      </c>
    </row>
    <row r="59" spans="1:14" x14ac:dyDescent="0.25">
      <c r="A59" s="26">
        <v>50</v>
      </c>
      <c r="B59" s="26" t="s">
        <v>58</v>
      </c>
      <c r="C59" s="26">
        <v>5.2</v>
      </c>
      <c r="D59" s="26">
        <v>10</v>
      </c>
      <c r="E59" s="26">
        <v>1</v>
      </c>
      <c r="F59" s="28" t="s">
        <v>240</v>
      </c>
      <c r="G59" t="str">
        <f t="shared" si="11"/>
        <v>JOB_SAS</v>
      </c>
      <c r="H59" t="str">
        <f t="shared" si="16"/>
        <v>C</v>
      </c>
      <c r="I59">
        <f t="shared" si="17"/>
        <v>1</v>
      </c>
      <c r="J59" t="b">
        <f t="shared" si="2"/>
        <v>1</v>
      </c>
      <c r="K59" t="s">
        <v>387</v>
      </c>
      <c r="L59" t="s">
        <v>333</v>
      </c>
      <c r="M59">
        <v>1</v>
      </c>
      <c r="N59" t="str">
        <f t="shared" si="15"/>
        <v>leave_pas</v>
      </c>
    </row>
    <row r="60" spans="1:14" x14ac:dyDescent="0.25">
      <c r="A60" s="26">
        <v>51</v>
      </c>
      <c r="B60" s="26" t="s">
        <v>59</v>
      </c>
      <c r="C60" s="26">
        <v>5.2</v>
      </c>
      <c r="D60" s="26">
        <v>11</v>
      </c>
      <c r="E60" s="26">
        <v>1</v>
      </c>
      <c r="F60" s="28" t="s">
        <v>241</v>
      </c>
      <c r="G60" t="str">
        <f t="shared" si="11"/>
        <v>LEAVE_SAS</v>
      </c>
      <c r="H60" t="str">
        <f t="shared" si="16"/>
        <v>C</v>
      </c>
      <c r="I60">
        <f t="shared" si="17"/>
        <v>1</v>
      </c>
      <c r="J60" t="b">
        <f t="shared" si="2"/>
        <v>1</v>
      </c>
      <c r="K60" t="s">
        <v>388</v>
      </c>
      <c r="L60" t="s">
        <v>333</v>
      </c>
      <c r="M60">
        <v>1</v>
      </c>
      <c r="N60" t="str">
        <f t="shared" si="15"/>
        <v>ssec_pas</v>
      </c>
    </row>
    <row r="61" spans="1:14" x14ac:dyDescent="0.25">
      <c r="A61" s="26">
        <v>52</v>
      </c>
      <c r="B61" s="26" t="s">
        <v>60</v>
      </c>
      <c r="C61" s="26">
        <v>5.2</v>
      </c>
      <c r="D61" s="26">
        <v>12</v>
      </c>
      <c r="E61" s="26">
        <v>1</v>
      </c>
      <c r="F61" s="28" t="s">
        <v>242</v>
      </c>
      <c r="G61" t="str">
        <f t="shared" si="11"/>
        <v>SSEC_SAS</v>
      </c>
      <c r="H61" t="str">
        <f t="shared" si="16"/>
        <v>C</v>
      </c>
      <c r="I61">
        <f t="shared" si="17"/>
        <v>1</v>
      </c>
      <c r="J61" t="b">
        <f t="shared" si="2"/>
        <v>1</v>
      </c>
      <c r="K61" t="s">
        <v>389</v>
      </c>
      <c r="L61" t="s">
        <v>333</v>
      </c>
      <c r="M61">
        <v>1</v>
      </c>
      <c r="N61" t="str">
        <f t="shared" si="15"/>
        <v>ecoprd_pas</v>
      </c>
    </row>
    <row r="62" spans="1:14" x14ac:dyDescent="0.25">
      <c r="A62" s="26">
        <v>53</v>
      </c>
      <c r="B62" s="26" t="s">
        <v>162</v>
      </c>
      <c r="C62" s="26">
        <v>5.2</v>
      </c>
      <c r="D62" s="26">
        <v>13</v>
      </c>
      <c r="E62" s="26">
        <v>1</v>
      </c>
      <c r="F62" s="28" t="s">
        <v>243</v>
      </c>
      <c r="G62" t="str">
        <f t="shared" si="11"/>
        <v>ECOPRD_SAS</v>
      </c>
      <c r="H62" t="str">
        <f t="shared" si="16"/>
        <v>C</v>
      </c>
      <c r="I62">
        <f t="shared" si="17"/>
        <v>1</v>
      </c>
      <c r="J62" t="b">
        <f t="shared" si="2"/>
        <v>1</v>
      </c>
      <c r="K62" s="41" t="s">
        <v>390</v>
      </c>
      <c r="L62" s="41" t="s">
        <v>333</v>
      </c>
      <c r="M62" s="41">
        <v>1</v>
      </c>
      <c r="N62" s="41" t="e">
        <f t="shared" si="15"/>
        <v>#N/A</v>
      </c>
    </row>
    <row r="63" spans="1:14" x14ac:dyDescent="0.25">
      <c r="A63" s="26">
        <v>54</v>
      </c>
      <c r="B63" s="26" t="s">
        <v>163</v>
      </c>
      <c r="C63" s="26">
        <v>5.3</v>
      </c>
      <c r="D63" s="26">
        <v>5</v>
      </c>
      <c r="E63" s="26">
        <v>1</v>
      </c>
      <c r="F63" s="28" t="s">
        <v>244</v>
      </c>
      <c r="G63" t="str">
        <f t="shared" si="11"/>
        <v>WRK_365</v>
      </c>
      <c r="H63" t="str">
        <f t="shared" si="16"/>
        <v>C</v>
      </c>
      <c r="I63">
        <f t="shared" si="17"/>
        <v>1</v>
      </c>
      <c r="J63" t="b">
        <f t="shared" si="2"/>
        <v>1</v>
      </c>
      <c r="K63" s="41" t="s">
        <v>391</v>
      </c>
      <c r="L63" s="41" t="s">
        <v>333</v>
      </c>
      <c r="M63" s="41">
        <v>1</v>
      </c>
      <c r="N63" s="41" t="e">
        <f t="shared" si="15"/>
        <v>#N/A</v>
      </c>
    </row>
    <row r="64" spans="1:14" x14ac:dyDescent="0.25">
      <c r="A64" s="26">
        <v>55</v>
      </c>
      <c r="B64" s="26" t="s">
        <v>164</v>
      </c>
      <c r="C64" s="26">
        <v>5.3</v>
      </c>
      <c r="D64" s="26">
        <v>6</v>
      </c>
      <c r="E64" s="26">
        <v>1</v>
      </c>
      <c r="F64" s="28" t="s">
        <v>245</v>
      </c>
      <c r="G64" t="str">
        <f t="shared" si="11"/>
        <v>DUR_PAS</v>
      </c>
      <c r="H64" t="str">
        <f t="shared" si="16"/>
        <v>C</v>
      </c>
      <c r="I64">
        <f t="shared" si="17"/>
        <v>1</v>
      </c>
      <c r="J64" t="b">
        <f t="shared" si="2"/>
        <v>1</v>
      </c>
      <c r="K64" t="s">
        <v>392</v>
      </c>
      <c r="L64" t="s">
        <v>333</v>
      </c>
      <c r="M64">
        <v>2</v>
      </c>
      <c r="N64" t="str">
        <f t="shared" si="15"/>
        <v>sas</v>
      </c>
    </row>
    <row r="65" spans="1:14" x14ac:dyDescent="0.25">
      <c r="A65" s="26">
        <v>56</v>
      </c>
      <c r="B65" s="26" t="s">
        <v>165</v>
      </c>
      <c r="C65" s="26">
        <v>5.3</v>
      </c>
      <c r="D65" s="26">
        <v>7</v>
      </c>
      <c r="E65" s="26">
        <v>1</v>
      </c>
      <c r="F65" s="28" t="s">
        <v>246</v>
      </c>
      <c r="G65" t="str">
        <f t="shared" si="11"/>
        <v>DUR_SAS</v>
      </c>
      <c r="H65" t="str">
        <f t="shared" si="16"/>
        <v>C</v>
      </c>
      <c r="I65">
        <f t="shared" si="17"/>
        <v>1</v>
      </c>
      <c r="J65" t="b">
        <f t="shared" si="2"/>
        <v>1</v>
      </c>
      <c r="K65" s="39" t="s">
        <v>393</v>
      </c>
      <c r="L65" s="39" t="s">
        <v>333</v>
      </c>
      <c r="M65" s="39">
        <v>100</v>
      </c>
      <c r="N65" s="39" t="e">
        <f t="shared" si="15"/>
        <v>#N/A</v>
      </c>
    </row>
    <row r="66" spans="1:14" x14ac:dyDescent="0.25">
      <c r="A66" s="26">
        <v>57</v>
      </c>
      <c r="B66" s="26" t="s">
        <v>166</v>
      </c>
      <c r="C66" s="26">
        <v>5.3</v>
      </c>
      <c r="D66" s="26">
        <v>8</v>
      </c>
      <c r="E66" s="26">
        <v>1</v>
      </c>
      <c r="F66" s="28" t="s">
        <v>247</v>
      </c>
      <c r="G66" t="str">
        <f t="shared" si="11"/>
        <v>EFF_PAS</v>
      </c>
      <c r="H66" t="str">
        <f t="shared" si="16"/>
        <v>C</v>
      </c>
      <c r="I66">
        <f t="shared" si="17"/>
        <v>1</v>
      </c>
      <c r="J66" t="b">
        <f t="shared" si="2"/>
        <v>1</v>
      </c>
      <c r="K66" s="39" t="s">
        <v>394</v>
      </c>
      <c r="L66" s="39" t="s">
        <v>333</v>
      </c>
      <c r="M66" s="39">
        <v>1</v>
      </c>
      <c r="N66" s="39" t="e">
        <f t="shared" si="15"/>
        <v>#N/A</v>
      </c>
    </row>
    <row r="67" spans="1:14" x14ac:dyDescent="0.25">
      <c r="A67" s="26">
        <v>58</v>
      </c>
      <c r="B67" s="26" t="s">
        <v>167</v>
      </c>
      <c r="C67" s="26">
        <v>5.3</v>
      </c>
      <c r="D67" s="26">
        <v>9</v>
      </c>
      <c r="E67" s="26">
        <v>1</v>
      </c>
      <c r="F67" s="28" t="s">
        <v>248</v>
      </c>
      <c r="G67" t="str">
        <f t="shared" si="11"/>
        <v>DUR_UNP</v>
      </c>
      <c r="H67" t="str">
        <f t="shared" si="16"/>
        <v>C</v>
      </c>
      <c r="I67">
        <f t="shared" si="17"/>
        <v>1</v>
      </c>
      <c r="J67" t="b">
        <f t="shared" ref="J67:J130" si="18">E67=I67</f>
        <v>1</v>
      </c>
      <c r="K67" t="s">
        <v>395</v>
      </c>
      <c r="L67" t="s">
        <v>333</v>
      </c>
      <c r="M67">
        <v>5</v>
      </c>
      <c r="N67" t="str">
        <f t="shared" si="15"/>
        <v>ind_sas</v>
      </c>
    </row>
    <row r="68" spans="1:14" x14ac:dyDescent="0.25">
      <c r="A68" s="26">
        <v>59</v>
      </c>
      <c r="B68" s="26" t="s">
        <v>168</v>
      </c>
      <c r="C68" s="26">
        <v>5.3</v>
      </c>
      <c r="D68" s="26">
        <v>10</v>
      </c>
      <c r="E68" s="26">
        <v>1</v>
      </c>
      <c r="F68" s="28" t="s">
        <v>249</v>
      </c>
      <c r="G68" t="str">
        <f t="shared" si="11"/>
        <v>EVR_WRK</v>
      </c>
      <c r="H68" t="str">
        <f t="shared" si="16"/>
        <v>C</v>
      </c>
      <c r="I68">
        <f t="shared" si="17"/>
        <v>1</v>
      </c>
      <c r="J68" t="b">
        <f t="shared" si="18"/>
        <v>1</v>
      </c>
      <c r="K68" t="s">
        <v>396</v>
      </c>
      <c r="L68" t="s">
        <v>333</v>
      </c>
      <c r="M68">
        <v>3</v>
      </c>
      <c r="N68" t="str">
        <f t="shared" si="15"/>
        <v>ocu_sas</v>
      </c>
    </row>
    <row r="69" spans="1:14" x14ac:dyDescent="0.25">
      <c r="A69" s="26">
        <v>60</v>
      </c>
      <c r="B69" s="36" t="s">
        <v>169</v>
      </c>
      <c r="C69" s="36">
        <v>5.3</v>
      </c>
      <c r="D69" s="36">
        <v>11</v>
      </c>
      <c r="E69" s="36">
        <v>2</v>
      </c>
      <c r="F69" s="28" t="s">
        <v>250</v>
      </c>
      <c r="G69" t="str">
        <f t="shared" ref="G69:G100" si="19">VLOOKUP(F69,$K$2:$M$186,1,FALSE)</f>
        <v>REA_NW</v>
      </c>
      <c r="H69" t="str">
        <f t="shared" si="16"/>
        <v>C</v>
      </c>
      <c r="I69">
        <f t="shared" si="17"/>
        <v>2</v>
      </c>
      <c r="J69" t="b">
        <f t="shared" si="18"/>
        <v>1</v>
      </c>
      <c r="K69" t="s">
        <v>397</v>
      </c>
      <c r="L69" t="s">
        <v>333</v>
      </c>
      <c r="M69">
        <v>2</v>
      </c>
      <c r="N69" t="str">
        <f t="shared" si="15"/>
        <v>loc_sas</v>
      </c>
    </row>
    <row r="70" spans="1:14" x14ac:dyDescent="0.25">
      <c r="A70" s="26">
        <v>61</v>
      </c>
      <c r="B70" s="26" t="s">
        <v>170</v>
      </c>
      <c r="C70" s="26">
        <v>5.3</v>
      </c>
      <c r="D70" s="26">
        <v>12</v>
      </c>
      <c r="E70" s="26">
        <v>1</v>
      </c>
      <c r="F70" s="28" t="s">
        <v>251</v>
      </c>
      <c r="G70" t="str">
        <f t="shared" si="19"/>
        <v>REA</v>
      </c>
      <c r="H70" t="str">
        <f t="shared" si="16"/>
        <v>C</v>
      </c>
      <c r="I70">
        <f t="shared" si="17"/>
        <v>1</v>
      </c>
      <c r="J70" t="b">
        <f t="shared" si="18"/>
        <v>1</v>
      </c>
      <c r="K70" t="s">
        <v>398</v>
      </c>
      <c r="L70" t="s">
        <v>333</v>
      </c>
      <c r="M70">
        <v>2</v>
      </c>
      <c r="N70" t="str">
        <f t="shared" si="15"/>
        <v>etyp_sas</v>
      </c>
    </row>
    <row r="71" spans="1:14" x14ac:dyDescent="0.25">
      <c r="A71" s="26">
        <v>62</v>
      </c>
      <c r="B71" s="26" t="s">
        <v>61</v>
      </c>
      <c r="C71" s="26">
        <v>6</v>
      </c>
      <c r="D71" s="34" t="s">
        <v>69</v>
      </c>
      <c r="E71" s="26">
        <v>2</v>
      </c>
      <c r="F71" s="28" t="s">
        <v>252</v>
      </c>
      <c r="G71" t="str">
        <f t="shared" si="19"/>
        <v>DAS17</v>
      </c>
      <c r="H71" t="str">
        <f t="shared" si="16"/>
        <v>C</v>
      </c>
      <c r="I71">
        <f t="shared" si="17"/>
        <v>2</v>
      </c>
      <c r="J71" t="b">
        <f t="shared" si="18"/>
        <v>1</v>
      </c>
      <c r="K71" t="s">
        <v>399</v>
      </c>
      <c r="L71" t="s">
        <v>333</v>
      </c>
      <c r="M71">
        <v>1</v>
      </c>
      <c r="N71" t="str">
        <f t="shared" si="15"/>
        <v>wrkr_sas</v>
      </c>
    </row>
    <row r="72" spans="1:14" x14ac:dyDescent="0.25">
      <c r="A72" s="26">
        <v>63</v>
      </c>
      <c r="B72" s="26" t="s">
        <v>157</v>
      </c>
      <c r="C72" s="26">
        <v>6</v>
      </c>
      <c r="D72" s="34" t="s">
        <v>70</v>
      </c>
      <c r="E72" s="26">
        <v>2</v>
      </c>
      <c r="F72" s="28" t="s">
        <v>253</v>
      </c>
      <c r="G72" t="str">
        <f t="shared" si="19"/>
        <v>IND17</v>
      </c>
      <c r="H72" t="str">
        <f t="shared" si="16"/>
        <v>C</v>
      </c>
      <c r="I72">
        <f t="shared" si="17"/>
        <v>2</v>
      </c>
      <c r="J72" t="b">
        <f t="shared" si="18"/>
        <v>1</v>
      </c>
      <c r="K72" t="s">
        <v>400</v>
      </c>
      <c r="L72" t="s">
        <v>333</v>
      </c>
      <c r="M72">
        <v>1</v>
      </c>
      <c r="N72" t="str">
        <f t="shared" si="15"/>
        <v>job_sas</v>
      </c>
    </row>
    <row r="73" spans="1:14" x14ac:dyDescent="0.25">
      <c r="A73" s="26">
        <v>64</v>
      </c>
      <c r="B73" s="26" t="s">
        <v>74</v>
      </c>
      <c r="C73" s="26">
        <v>6</v>
      </c>
      <c r="D73" s="34" t="s">
        <v>63</v>
      </c>
      <c r="E73" s="26">
        <v>2</v>
      </c>
      <c r="F73" s="28" t="s">
        <v>254</v>
      </c>
      <c r="G73" t="str">
        <f t="shared" si="19"/>
        <v>HR17</v>
      </c>
      <c r="H73" t="str">
        <f t="shared" si="16"/>
        <v>N</v>
      </c>
      <c r="I73">
        <f t="shared" si="17"/>
        <v>2</v>
      </c>
      <c r="J73" t="b">
        <f t="shared" si="18"/>
        <v>1</v>
      </c>
      <c r="K73" t="s">
        <v>401</v>
      </c>
      <c r="L73" t="s">
        <v>333</v>
      </c>
      <c r="M73">
        <v>1</v>
      </c>
      <c r="N73" t="str">
        <f t="shared" si="15"/>
        <v>leave_sas</v>
      </c>
    </row>
    <row r="74" spans="1:14" x14ac:dyDescent="0.25">
      <c r="A74" s="26">
        <v>65</v>
      </c>
      <c r="B74" s="26" t="s">
        <v>73</v>
      </c>
      <c r="C74" s="26">
        <v>6</v>
      </c>
      <c r="D74" s="34" t="s">
        <v>66</v>
      </c>
      <c r="E74" s="26">
        <v>5</v>
      </c>
      <c r="F74" s="28" t="s">
        <v>255</v>
      </c>
      <c r="G74" t="str">
        <f t="shared" si="19"/>
        <v>ERN17</v>
      </c>
      <c r="H74" t="str">
        <f t="shared" si="16"/>
        <v>N</v>
      </c>
      <c r="I74">
        <f t="shared" si="17"/>
        <v>5</v>
      </c>
      <c r="J74" t="b">
        <f t="shared" si="18"/>
        <v>1</v>
      </c>
      <c r="K74" t="s">
        <v>402</v>
      </c>
      <c r="L74" t="s">
        <v>333</v>
      </c>
      <c r="M74">
        <v>1</v>
      </c>
      <c r="N74" t="str">
        <f t="shared" ref="N74:N105" si="20">VLOOKUP(K74,$F$2:$F$151,1,FALSE)</f>
        <v>ssec_sas</v>
      </c>
    </row>
    <row r="75" spans="1:14" x14ac:dyDescent="0.25">
      <c r="A75" s="26">
        <v>66</v>
      </c>
      <c r="B75" s="26" t="s">
        <v>62</v>
      </c>
      <c r="C75" s="26">
        <v>6</v>
      </c>
      <c r="D75" s="34" t="s">
        <v>69</v>
      </c>
      <c r="E75" s="26">
        <v>2</v>
      </c>
      <c r="F75" s="28" t="s">
        <v>256</v>
      </c>
      <c r="G75" t="str">
        <f t="shared" si="19"/>
        <v>DAS27</v>
      </c>
      <c r="H75" t="str">
        <f t="shared" ref="H75:H106" si="21">VLOOKUP(F75,$K$2:$M$186,2,FALSE)</f>
        <v>C</v>
      </c>
      <c r="I75">
        <f t="shared" ref="I75:I106" si="22">VLOOKUP(F75,$K$2:$M$186,3,FALSE)</f>
        <v>2</v>
      </c>
      <c r="J75" t="b">
        <f t="shared" si="18"/>
        <v>1</v>
      </c>
      <c r="K75" t="s">
        <v>403</v>
      </c>
      <c r="L75" t="s">
        <v>333</v>
      </c>
      <c r="M75">
        <v>1</v>
      </c>
      <c r="N75" t="str">
        <f t="shared" si="20"/>
        <v>ecoprd_sas</v>
      </c>
    </row>
    <row r="76" spans="1:14" x14ac:dyDescent="0.25">
      <c r="A76" s="26">
        <v>67</v>
      </c>
      <c r="B76" s="26" t="s">
        <v>158</v>
      </c>
      <c r="C76" s="26">
        <v>6</v>
      </c>
      <c r="D76" s="34" t="s">
        <v>70</v>
      </c>
      <c r="E76" s="26">
        <v>2</v>
      </c>
      <c r="F76" s="28" t="s">
        <v>257</v>
      </c>
      <c r="G76" t="str">
        <f t="shared" si="19"/>
        <v>IND27</v>
      </c>
      <c r="H76" t="str">
        <f t="shared" si="21"/>
        <v>C</v>
      </c>
      <c r="I76">
        <f t="shared" si="22"/>
        <v>2</v>
      </c>
      <c r="J76" t="b">
        <f t="shared" si="18"/>
        <v>1</v>
      </c>
      <c r="K76" s="41" t="s">
        <v>404</v>
      </c>
      <c r="L76" s="41" t="s">
        <v>333</v>
      </c>
      <c r="M76" s="41">
        <v>1</v>
      </c>
      <c r="N76" s="41" t="e">
        <f t="shared" si="20"/>
        <v>#N/A</v>
      </c>
    </row>
    <row r="77" spans="1:14" x14ac:dyDescent="0.25">
      <c r="A77" s="26">
        <v>68</v>
      </c>
      <c r="B77" s="26" t="s">
        <v>87</v>
      </c>
      <c r="C77" s="26">
        <v>6</v>
      </c>
      <c r="D77" s="34" t="s">
        <v>63</v>
      </c>
      <c r="E77" s="26">
        <v>2</v>
      </c>
      <c r="F77" s="28" t="s">
        <v>258</v>
      </c>
      <c r="G77" t="str">
        <f t="shared" si="19"/>
        <v>HR27</v>
      </c>
      <c r="H77" t="str">
        <f t="shared" si="21"/>
        <v>N</v>
      </c>
      <c r="I77">
        <f t="shared" si="22"/>
        <v>2</v>
      </c>
      <c r="J77" t="b">
        <f t="shared" si="18"/>
        <v>1</v>
      </c>
      <c r="K77" s="41" t="s">
        <v>405</v>
      </c>
      <c r="L77" s="41" t="s">
        <v>333</v>
      </c>
      <c r="M77" s="41">
        <v>1</v>
      </c>
      <c r="N77" s="41" t="e">
        <f t="shared" si="20"/>
        <v>#N/A</v>
      </c>
    </row>
    <row r="78" spans="1:14" x14ac:dyDescent="0.25">
      <c r="A78" s="26">
        <v>69</v>
      </c>
      <c r="B78" s="26" t="s">
        <v>72</v>
      </c>
      <c r="C78" s="26">
        <v>6</v>
      </c>
      <c r="D78" s="34" t="s">
        <v>66</v>
      </c>
      <c r="E78" s="26">
        <v>5</v>
      </c>
      <c r="F78" s="28" t="s">
        <v>259</v>
      </c>
      <c r="G78" t="str">
        <f t="shared" si="19"/>
        <v>ERN27</v>
      </c>
      <c r="H78" t="str">
        <f t="shared" si="21"/>
        <v>N</v>
      </c>
      <c r="I78">
        <f t="shared" si="22"/>
        <v>5</v>
      </c>
      <c r="J78" t="b">
        <f t="shared" si="18"/>
        <v>1</v>
      </c>
      <c r="K78" t="s">
        <v>406</v>
      </c>
      <c r="L78" t="s">
        <v>333</v>
      </c>
      <c r="M78">
        <v>1</v>
      </c>
      <c r="N78" t="str">
        <f t="shared" si="20"/>
        <v>wrk_365</v>
      </c>
    </row>
    <row r="79" spans="1:14" x14ac:dyDescent="0.25">
      <c r="A79" s="26">
        <v>70</v>
      </c>
      <c r="B79" s="26" t="s">
        <v>71</v>
      </c>
      <c r="C79" s="26">
        <v>6</v>
      </c>
      <c r="D79" s="34" t="s">
        <v>76</v>
      </c>
      <c r="E79" s="26">
        <v>2</v>
      </c>
      <c r="F79" s="28" t="s">
        <v>260</v>
      </c>
      <c r="G79" t="str">
        <f t="shared" si="19"/>
        <v>HR7</v>
      </c>
      <c r="H79" t="str">
        <f t="shared" si="21"/>
        <v>N</v>
      </c>
      <c r="I79">
        <f t="shared" si="22"/>
        <v>2</v>
      </c>
      <c r="J79" t="b">
        <f t="shared" si="18"/>
        <v>1</v>
      </c>
      <c r="K79" t="s">
        <v>407</v>
      </c>
      <c r="L79" t="s">
        <v>333</v>
      </c>
      <c r="M79">
        <v>1</v>
      </c>
      <c r="N79" t="str">
        <f t="shared" si="20"/>
        <v>dur_pas</v>
      </c>
    </row>
    <row r="80" spans="1:14" x14ac:dyDescent="0.25">
      <c r="A80" s="26">
        <v>71</v>
      </c>
      <c r="B80" s="26" t="s">
        <v>75</v>
      </c>
      <c r="C80" s="26">
        <v>6</v>
      </c>
      <c r="D80" s="34" t="s">
        <v>77</v>
      </c>
      <c r="E80" s="26">
        <v>2</v>
      </c>
      <c r="F80" s="28" t="s">
        <v>261</v>
      </c>
      <c r="G80" t="str">
        <f t="shared" si="19"/>
        <v>AHR7</v>
      </c>
      <c r="H80" t="str">
        <f t="shared" si="21"/>
        <v>N</v>
      </c>
      <c r="I80">
        <f t="shared" si="22"/>
        <v>2</v>
      </c>
      <c r="J80" t="b">
        <f t="shared" si="18"/>
        <v>1</v>
      </c>
      <c r="K80" t="s">
        <v>408</v>
      </c>
      <c r="L80" t="s">
        <v>333</v>
      </c>
      <c r="M80">
        <v>1</v>
      </c>
      <c r="N80" t="str">
        <f t="shared" si="20"/>
        <v>dur_sas</v>
      </c>
    </row>
    <row r="81" spans="1:14" x14ac:dyDescent="0.25">
      <c r="A81" s="26">
        <v>72</v>
      </c>
      <c r="B81" s="26" t="s">
        <v>61</v>
      </c>
      <c r="C81" s="26">
        <v>6</v>
      </c>
      <c r="D81" s="34" t="s">
        <v>79</v>
      </c>
      <c r="E81" s="26">
        <v>2</v>
      </c>
      <c r="F81" s="28" t="s">
        <v>262</v>
      </c>
      <c r="G81" t="str">
        <f t="shared" si="19"/>
        <v>DAS16</v>
      </c>
      <c r="H81" t="str">
        <f t="shared" si="21"/>
        <v>C</v>
      </c>
      <c r="I81">
        <f t="shared" si="22"/>
        <v>2</v>
      </c>
      <c r="J81" t="b">
        <f t="shared" si="18"/>
        <v>1</v>
      </c>
      <c r="K81" t="s">
        <v>409</v>
      </c>
      <c r="L81" t="s">
        <v>333</v>
      </c>
      <c r="M81">
        <v>1</v>
      </c>
      <c r="N81" t="str">
        <f t="shared" si="20"/>
        <v>eff_pas</v>
      </c>
    </row>
    <row r="82" spans="1:14" x14ac:dyDescent="0.25">
      <c r="A82" s="26">
        <v>73</v>
      </c>
      <c r="B82" s="26" t="s">
        <v>157</v>
      </c>
      <c r="C82" s="26">
        <v>6</v>
      </c>
      <c r="D82" s="34" t="s">
        <v>80</v>
      </c>
      <c r="E82" s="26">
        <v>2</v>
      </c>
      <c r="F82" s="28" t="s">
        <v>263</v>
      </c>
      <c r="G82" t="str">
        <f t="shared" si="19"/>
        <v>IND16</v>
      </c>
      <c r="H82" t="str">
        <f t="shared" si="21"/>
        <v>C</v>
      </c>
      <c r="I82">
        <f t="shared" si="22"/>
        <v>2</v>
      </c>
      <c r="J82" t="b">
        <f t="shared" si="18"/>
        <v>1</v>
      </c>
      <c r="K82" t="s">
        <v>410</v>
      </c>
      <c r="L82" t="s">
        <v>333</v>
      </c>
      <c r="M82">
        <v>1</v>
      </c>
      <c r="N82" t="str">
        <f t="shared" si="20"/>
        <v>dur_unp</v>
      </c>
    </row>
    <row r="83" spans="1:14" x14ac:dyDescent="0.25">
      <c r="A83" s="26">
        <v>74</v>
      </c>
      <c r="B83" s="26" t="s">
        <v>82</v>
      </c>
      <c r="C83" s="26">
        <v>6</v>
      </c>
      <c r="D83" s="34" t="s">
        <v>64</v>
      </c>
      <c r="E83" s="26">
        <v>2</v>
      </c>
      <c r="F83" s="28" t="s">
        <v>264</v>
      </c>
      <c r="G83" t="str">
        <f t="shared" si="19"/>
        <v>HR16</v>
      </c>
      <c r="H83" t="str">
        <f t="shared" si="21"/>
        <v>N</v>
      </c>
      <c r="I83">
        <f t="shared" si="22"/>
        <v>2</v>
      </c>
      <c r="J83" t="b">
        <f t="shared" si="18"/>
        <v>1</v>
      </c>
      <c r="K83" t="s">
        <v>411</v>
      </c>
      <c r="L83" t="s">
        <v>333</v>
      </c>
      <c r="M83">
        <v>1</v>
      </c>
      <c r="N83" t="str">
        <f t="shared" si="20"/>
        <v>evr_wrk</v>
      </c>
    </row>
    <row r="84" spans="1:14" x14ac:dyDescent="0.25">
      <c r="A84" s="26">
        <v>75</v>
      </c>
      <c r="B84" s="26" t="s">
        <v>73</v>
      </c>
      <c r="C84" s="26">
        <v>6</v>
      </c>
      <c r="D84" s="34" t="s">
        <v>65</v>
      </c>
      <c r="E84" s="26">
        <v>5</v>
      </c>
      <c r="F84" s="28" t="s">
        <v>265</v>
      </c>
      <c r="G84" t="str">
        <f t="shared" si="19"/>
        <v>ERN16</v>
      </c>
      <c r="H84" t="str">
        <f t="shared" si="21"/>
        <v>N</v>
      </c>
      <c r="I84">
        <f t="shared" si="22"/>
        <v>5</v>
      </c>
      <c r="J84" t="b">
        <f t="shared" si="18"/>
        <v>1</v>
      </c>
      <c r="K84" t="s">
        <v>412</v>
      </c>
      <c r="L84" t="s">
        <v>333</v>
      </c>
      <c r="M84">
        <v>2</v>
      </c>
      <c r="N84" t="str">
        <f t="shared" si="20"/>
        <v>rea_nw</v>
      </c>
    </row>
    <row r="85" spans="1:14" x14ac:dyDescent="0.25">
      <c r="A85" s="26">
        <v>76</v>
      </c>
      <c r="B85" s="26" t="s">
        <v>62</v>
      </c>
      <c r="C85" s="26">
        <v>6</v>
      </c>
      <c r="D85" s="34" t="s">
        <v>79</v>
      </c>
      <c r="E85" s="26">
        <v>2</v>
      </c>
      <c r="F85" s="28" t="s">
        <v>266</v>
      </c>
      <c r="G85" t="str">
        <f t="shared" si="19"/>
        <v>DAS26</v>
      </c>
      <c r="H85" t="str">
        <f t="shared" si="21"/>
        <v>C</v>
      </c>
      <c r="I85">
        <f t="shared" si="22"/>
        <v>2</v>
      </c>
      <c r="J85" t="b">
        <f t="shared" si="18"/>
        <v>1</v>
      </c>
      <c r="K85" t="s">
        <v>413</v>
      </c>
      <c r="L85" t="s">
        <v>333</v>
      </c>
      <c r="M85">
        <v>1</v>
      </c>
      <c r="N85" t="str">
        <f t="shared" si="20"/>
        <v>rea</v>
      </c>
    </row>
    <row r="86" spans="1:14" x14ac:dyDescent="0.25">
      <c r="A86" s="26">
        <v>77</v>
      </c>
      <c r="B86" s="26" t="s">
        <v>158</v>
      </c>
      <c r="C86" s="26">
        <v>6</v>
      </c>
      <c r="D86" s="34" t="s">
        <v>80</v>
      </c>
      <c r="E86" s="26">
        <v>2</v>
      </c>
      <c r="F86" s="28" t="s">
        <v>267</v>
      </c>
      <c r="G86" t="str">
        <f t="shared" si="19"/>
        <v>IND26</v>
      </c>
      <c r="H86" t="str">
        <f t="shared" si="21"/>
        <v>C</v>
      </c>
      <c r="I86">
        <f t="shared" si="22"/>
        <v>2</v>
      </c>
      <c r="J86" t="b">
        <f t="shared" si="18"/>
        <v>1</v>
      </c>
      <c r="K86" t="s">
        <v>414</v>
      </c>
      <c r="L86" t="s">
        <v>333</v>
      </c>
      <c r="M86">
        <v>2</v>
      </c>
      <c r="N86" t="str">
        <f t="shared" si="20"/>
        <v>das17</v>
      </c>
    </row>
    <row r="87" spans="1:14" x14ac:dyDescent="0.25">
      <c r="A87" s="26">
        <v>78</v>
      </c>
      <c r="B87" s="26" t="s">
        <v>83</v>
      </c>
      <c r="C87" s="26">
        <v>6</v>
      </c>
      <c r="D87" s="34" t="s">
        <v>64</v>
      </c>
      <c r="E87" s="26">
        <v>2</v>
      </c>
      <c r="F87" s="28" t="s">
        <v>268</v>
      </c>
      <c r="G87" t="str">
        <f t="shared" si="19"/>
        <v>HR26</v>
      </c>
      <c r="H87" t="str">
        <f t="shared" si="21"/>
        <v>N</v>
      </c>
      <c r="I87">
        <f t="shared" si="22"/>
        <v>2</v>
      </c>
      <c r="J87" t="b">
        <f t="shared" si="18"/>
        <v>1</v>
      </c>
      <c r="K87" t="s">
        <v>415</v>
      </c>
      <c r="L87" t="s">
        <v>333</v>
      </c>
      <c r="M87">
        <v>2</v>
      </c>
      <c r="N87" t="str">
        <f t="shared" si="20"/>
        <v>ind17</v>
      </c>
    </row>
    <row r="88" spans="1:14" x14ac:dyDescent="0.25">
      <c r="A88" s="26">
        <v>79</v>
      </c>
      <c r="B88" s="26" t="s">
        <v>84</v>
      </c>
      <c r="C88" s="26">
        <v>6</v>
      </c>
      <c r="D88" s="34" t="s">
        <v>65</v>
      </c>
      <c r="E88" s="26">
        <v>5</v>
      </c>
      <c r="F88" s="28" t="s">
        <v>269</v>
      </c>
      <c r="G88" t="str">
        <f t="shared" si="19"/>
        <v>ERN26</v>
      </c>
      <c r="H88" t="str">
        <f t="shared" si="21"/>
        <v>N</v>
      </c>
      <c r="I88">
        <f t="shared" si="22"/>
        <v>5</v>
      </c>
      <c r="J88" t="b">
        <f t="shared" si="18"/>
        <v>1</v>
      </c>
      <c r="K88" t="s">
        <v>416</v>
      </c>
      <c r="L88" t="s">
        <v>337</v>
      </c>
      <c r="M88">
        <v>2</v>
      </c>
      <c r="N88" t="str">
        <f t="shared" si="20"/>
        <v>hr17</v>
      </c>
    </row>
    <row r="89" spans="1:14" x14ac:dyDescent="0.25">
      <c r="A89" s="26">
        <v>80</v>
      </c>
      <c r="B89" s="26" t="s">
        <v>85</v>
      </c>
      <c r="C89" s="26">
        <v>6</v>
      </c>
      <c r="D89" s="34" t="s">
        <v>81</v>
      </c>
      <c r="E89" s="26">
        <v>2</v>
      </c>
      <c r="F89" s="28" t="s">
        <v>270</v>
      </c>
      <c r="G89" t="str">
        <f t="shared" si="19"/>
        <v>HR6</v>
      </c>
      <c r="H89" t="str">
        <f t="shared" si="21"/>
        <v>N</v>
      </c>
      <c r="I89">
        <f t="shared" si="22"/>
        <v>2</v>
      </c>
      <c r="J89" t="b">
        <f t="shared" si="18"/>
        <v>1</v>
      </c>
      <c r="K89" t="s">
        <v>417</v>
      </c>
      <c r="L89" t="s">
        <v>337</v>
      </c>
      <c r="M89">
        <v>5</v>
      </c>
      <c r="N89" t="str">
        <f t="shared" si="20"/>
        <v>ern17</v>
      </c>
    </row>
    <row r="90" spans="1:14" x14ac:dyDescent="0.25">
      <c r="A90" s="26">
        <v>81</v>
      </c>
      <c r="B90" s="26" t="s">
        <v>86</v>
      </c>
      <c r="C90" s="26">
        <v>6</v>
      </c>
      <c r="D90" s="34" t="s">
        <v>78</v>
      </c>
      <c r="E90" s="26">
        <v>2</v>
      </c>
      <c r="F90" s="28" t="s">
        <v>271</v>
      </c>
      <c r="G90" t="str">
        <f t="shared" si="19"/>
        <v>AHR6</v>
      </c>
      <c r="H90" t="str">
        <f t="shared" si="21"/>
        <v>N</v>
      </c>
      <c r="I90">
        <f t="shared" si="22"/>
        <v>2</v>
      </c>
      <c r="J90" t="b">
        <f t="shared" si="18"/>
        <v>1</v>
      </c>
      <c r="K90" t="s">
        <v>418</v>
      </c>
      <c r="L90" t="s">
        <v>333</v>
      </c>
      <c r="M90">
        <v>2</v>
      </c>
      <c r="N90" t="str">
        <f t="shared" si="20"/>
        <v>das27</v>
      </c>
    </row>
    <row r="91" spans="1:14" x14ac:dyDescent="0.25">
      <c r="A91" s="26">
        <v>82</v>
      </c>
      <c r="B91" s="26" t="s">
        <v>61</v>
      </c>
      <c r="C91" s="26">
        <v>6</v>
      </c>
      <c r="D91" s="34" t="s">
        <v>88</v>
      </c>
      <c r="E91" s="26">
        <v>2</v>
      </c>
      <c r="F91" s="28" t="s">
        <v>272</v>
      </c>
      <c r="G91" t="str">
        <f t="shared" si="19"/>
        <v>DAS15</v>
      </c>
      <c r="H91" t="str">
        <f t="shared" si="21"/>
        <v>C</v>
      </c>
      <c r="I91">
        <f t="shared" si="22"/>
        <v>2</v>
      </c>
      <c r="J91" t="b">
        <f t="shared" si="18"/>
        <v>1</v>
      </c>
      <c r="K91" t="s">
        <v>419</v>
      </c>
      <c r="L91" t="s">
        <v>333</v>
      </c>
      <c r="M91">
        <v>2</v>
      </c>
      <c r="N91" t="str">
        <f t="shared" si="20"/>
        <v>ind27</v>
      </c>
    </row>
    <row r="92" spans="1:14" x14ac:dyDescent="0.25">
      <c r="A92" s="26">
        <v>83</v>
      </c>
      <c r="B92" s="26" t="s">
        <v>157</v>
      </c>
      <c r="C92" s="26">
        <v>6</v>
      </c>
      <c r="D92" s="34" t="s">
        <v>89</v>
      </c>
      <c r="E92" s="26">
        <v>2</v>
      </c>
      <c r="F92" s="28" t="s">
        <v>273</v>
      </c>
      <c r="G92" t="str">
        <f t="shared" si="19"/>
        <v>IND15</v>
      </c>
      <c r="H92" t="str">
        <f t="shared" si="21"/>
        <v>C</v>
      </c>
      <c r="I92">
        <f t="shared" si="22"/>
        <v>2</v>
      </c>
      <c r="J92" t="b">
        <f t="shared" si="18"/>
        <v>1</v>
      </c>
      <c r="K92" t="s">
        <v>420</v>
      </c>
      <c r="L92" t="s">
        <v>337</v>
      </c>
      <c r="M92">
        <v>2</v>
      </c>
      <c r="N92" t="str">
        <f t="shared" si="20"/>
        <v>hr27</v>
      </c>
    </row>
    <row r="93" spans="1:14" x14ac:dyDescent="0.25">
      <c r="A93" s="26">
        <v>84</v>
      </c>
      <c r="B93" s="26" t="s">
        <v>94</v>
      </c>
      <c r="C93" s="26">
        <v>6</v>
      </c>
      <c r="D93" s="34" t="s">
        <v>90</v>
      </c>
      <c r="E93" s="26">
        <v>2</v>
      </c>
      <c r="F93" s="28" t="s">
        <v>274</v>
      </c>
      <c r="G93" t="str">
        <f t="shared" si="19"/>
        <v>HR15</v>
      </c>
      <c r="H93" t="str">
        <f t="shared" si="21"/>
        <v>N</v>
      </c>
      <c r="I93">
        <f t="shared" si="22"/>
        <v>2</v>
      </c>
      <c r="J93" t="b">
        <f t="shared" si="18"/>
        <v>1</v>
      </c>
      <c r="K93" t="s">
        <v>421</v>
      </c>
      <c r="L93" t="s">
        <v>337</v>
      </c>
      <c r="M93">
        <v>5</v>
      </c>
      <c r="N93" t="str">
        <f t="shared" si="20"/>
        <v>ern27</v>
      </c>
    </row>
    <row r="94" spans="1:14" x14ac:dyDescent="0.25">
      <c r="A94" s="26">
        <v>85</v>
      </c>
      <c r="B94" s="26" t="s">
        <v>95</v>
      </c>
      <c r="C94" s="26">
        <v>6</v>
      </c>
      <c r="D94" s="34" t="s">
        <v>91</v>
      </c>
      <c r="E94" s="26">
        <v>5</v>
      </c>
      <c r="F94" s="28" t="s">
        <v>275</v>
      </c>
      <c r="G94" t="str">
        <f t="shared" si="19"/>
        <v>ERN15</v>
      </c>
      <c r="H94" t="str">
        <f t="shared" si="21"/>
        <v>N</v>
      </c>
      <c r="I94">
        <f t="shared" si="22"/>
        <v>5</v>
      </c>
      <c r="J94" t="b">
        <f t="shared" si="18"/>
        <v>1</v>
      </c>
      <c r="K94" t="s">
        <v>422</v>
      </c>
      <c r="L94" t="s">
        <v>337</v>
      </c>
      <c r="M94">
        <v>2</v>
      </c>
      <c r="N94" t="str">
        <f t="shared" si="20"/>
        <v>hr7</v>
      </c>
    </row>
    <row r="95" spans="1:14" x14ac:dyDescent="0.25">
      <c r="A95" s="26">
        <v>86</v>
      </c>
      <c r="B95" s="26" t="s">
        <v>62</v>
      </c>
      <c r="C95" s="26">
        <v>6</v>
      </c>
      <c r="D95" s="34" t="s">
        <v>88</v>
      </c>
      <c r="E95" s="26">
        <v>2</v>
      </c>
      <c r="F95" s="28" t="s">
        <v>276</v>
      </c>
      <c r="G95" t="str">
        <f t="shared" si="19"/>
        <v>DAS25</v>
      </c>
      <c r="H95" t="str">
        <f t="shared" si="21"/>
        <v>C</v>
      </c>
      <c r="I95">
        <f t="shared" si="22"/>
        <v>2</v>
      </c>
      <c r="J95" t="b">
        <f t="shared" si="18"/>
        <v>1</v>
      </c>
      <c r="K95" t="s">
        <v>423</v>
      </c>
      <c r="L95" t="s">
        <v>337</v>
      </c>
      <c r="M95">
        <v>2</v>
      </c>
      <c r="N95" t="str">
        <f t="shared" si="20"/>
        <v>ahr7</v>
      </c>
    </row>
    <row r="96" spans="1:14" x14ac:dyDescent="0.25">
      <c r="A96" s="26">
        <v>87</v>
      </c>
      <c r="B96" s="26" t="s">
        <v>158</v>
      </c>
      <c r="C96" s="26">
        <v>6</v>
      </c>
      <c r="D96" s="34" t="s">
        <v>89</v>
      </c>
      <c r="E96" s="26">
        <v>2</v>
      </c>
      <c r="F96" s="28" t="s">
        <v>277</v>
      </c>
      <c r="G96" t="str">
        <f t="shared" si="19"/>
        <v>IND25</v>
      </c>
      <c r="H96" t="str">
        <f t="shared" si="21"/>
        <v>C</v>
      </c>
      <c r="I96">
        <f t="shared" si="22"/>
        <v>2</v>
      </c>
      <c r="J96" t="b">
        <f t="shared" si="18"/>
        <v>1</v>
      </c>
      <c r="K96" t="s">
        <v>424</v>
      </c>
      <c r="L96" t="s">
        <v>333</v>
      </c>
      <c r="M96">
        <v>2</v>
      </c>
      <c r="N96" t="str">
        <f t="shared" si="20"/>
        <v>das16</v>
      </c>
    </row>
    <row r="97" spans="1:14" x14ac:dyDescent="0.25">
      <c r="A97" s="26">
        <v>88</v>
      </c>
      <c r="B97" s="26" t="s">
        <v>96</v>
      </c>
      <c r="C97" s="26">
        <v>6</v>
      </c>
      <c r="D97" s="34" t="s">
        <v>90</v>
      </c>
      <c r="E97" s="26">
        <v>2</v>
      </c>
      <c r="F97" s="28" t="s">
        <v>278</v>
      </c>
      <c r="G97" t="str">
        <f t="shared" si="19"/>
        <v>HR25</v>
      </c>
      <c r="H97" t="str">
        <f t="shared" si="21"/>
        <v>N</v>
      </c>
      <c r="I97">
        <f t="shared" si="22"/>
        <v>2</v>
      </c>
      <c r="J97" t="b">
        <f t="shared" si="18"/>
        <v>1</v>
      </c>
      <c r="K97" t="s">
        <v>425</v>
      </c>
      <c r="L97" t="s">
        <v>333</v>
      </c>
      <c r="M97">
        <v>2</v>
      </c>
      <c r="N97" t="str">
        <f t="shared" si="20"/>
        <v>ind16</v>
      </c>
    </row>
    <row r="98" spans="1:14" x14ac:dyDescent="0.25">
      <c r="A98" s="26">
        <v>89</v>
      </c>
      <c r="B98" s="26" t="s">
        <v>97</v>
      </c>
      <c r="C98" s="26">
        <v>6</v>
      </c>
      <c r="D98" s="34" t="s">
        <v>91</v>
      </c>
      <c r="E98" s="26">
        <v>5</v>
      </c>
      <c r="F98" s="28" t="s">
        <v>279</v>
      </c>
      <c r="G98" t="str">
        <f t="shared" si="19"/>
        <v>ERN25</v>
      </c>
      <c r="H98" t="str">
        <f t="shared" si="21"/>
        <v>N</v>
      </c>
      <c r="I98">
        <f t="shared" si="22"/>
        <v>5</v>
      </c>
      <c r="J98" t="b">
        <f t="shared" si="18"/>
        <v>1</v>
      </c>
      <c r="K98" t="s">
        <v>426</v>
      </c>
      <c r="L98" t="s">
        <v>337</v>
      </c>
      <c r="M98">
        <v>2</v>
      </c>
      <c r="N98" t="str">
        <f t="shared" si="20"/>
        <v>hr16</v>
      </c>
    </row>
    <row r="99" spans="1:14" x14ac:dyDescent="0.25">
      <c r="A99" s="26">
        <v>90</v>
      </c>
      <c r="B99" s="26" t="s">
        <v>98</v>
      </c>
      <c r="C99" s="26">
        <v>6</v>
      </c>
      <c r="D99" s="34" t="s">
        <v>92</v>
      </c>
      <c r="E99" s="26">
        <v>2</v>
      </c>
      <c r="F99" s="28" t="s">
        <v>280</v>
      </c>
      <c r="G99" t="str">
        <f t="shared" si="19"/>
        <v>HR5</v>
      </c>
      <c r="H99" t="str">
        <f t="shared" si="21"/>
        <v>N</v>
      </c>
      <c r="I99">
        <f t="shared" si="22"/>
        <v>2</v>
      </c>
      <c r="J99" t="b">
        <f t="shared" si="18"/>
        <v>1</v>
      </c>
      <c r="K99" t="s">
        <v>427</v>
      </c>
      <c r="L99" t="s">
        <v>337</v>
      </c>
      <c r="M99">
        <v>5</v>
      </c>
      <c r="N99" t="str">
        <f t="shared" si="20"/>
        <v>ern16</v>
      </c>
    </row>
    <row r="100" spans="1:14" x14ac:dyDescent="0.25">
      <c r="A100" s="26">
        <v>91</v>
      </c>
      <c r="B100" s="26" t="s">
        <v>99</v>
      </c>
      <c r="C100" s="26">
        <v>6</v>
      </c>
      <c r="D100" s="34" t="s">
        <v>93</v>
      </c>
      <c r="E100" s="26">
        <v>2</v>
      </c>
      <c r="F100" s="28" t="s">
        <v>281</v>
      </c>
      <c r="G100" t="str">
        <f t="shared" si="19"/>
        <v>AHR5</v>
      </c>
      <c r="H100" t="str">
        <f t="shared" si="21"/>
        <v>N</v>
      </c>
      <c r="I100">
        <f t="shared" si="22"/>
        <v>2</v>
      </c>
      <c r="J100" t="b">
        <f t="shared" si="18"/>
        <v>1</v>
      </c>
      <c r="K100" t="s">
        <v>428</v>
      </c>
      <c r="L100" t="s">
        <v>333</v>
      </c>
      <c r="M100">
        <v>2</v>
      </c>
      <c r="N100" t="str">
        <f t="shared" si="20"/>
        <v>das26</v>
      </c>
    </row>
    <row r="101" spans="1:14" x14ac:dyDescent="0.25">
      <c r="A101" s="26">
        <v>92</v>
      </c>
      <c r="B101" s="26" t="s">
        <v>61</v>
      </c>
      <c r="C101" s="26">
        <v>6</v>
      </c>
      <c r="D101" s="34" t="s">
        <v>100</v>
      </c>
      <c r="E101" s="26">
        <v>2</v>
      </c>
      <c r="F101" s="28" t="s">
        <v>282</v>
      </c>
      <c r="G101" t="str">
        <f t="shared" ref="G101:G132" si="23">VLOOKUP(F101,$K$2:$M$186,1,FALSE)</f>
        <v>DAS14</v>
      </c>
      <c r="H101" t="str">
        <f t="shared" si="21"/>
        <v>C</v>
      </c>
      <c r="I101">
        <f t="shared" si="22"/>
        <v>2</v>
      </c>
      <c r="J101" t="b">
        <f t="shared" si="18"/>
        <v>1</v>
      </c>
      <c r="K101" t="s">
        <v>429</v>
      </c>
      <c r="L101" t="s">
        <v>333</v>
      </c>
      <c r="M101">
        <v>2</v>
      </c>
      <c r="N101" t="str">
        <f t="shared" si="20"/>
        <v>ind26</v>
      </c>
    </row>
    <row r="102" spans="1:14" x14ac:dyDescent="0.25">
      <c r="A102" s="26">
        <v>93</v>
      </c>
      <c r="B102" s="26" t="s">
        <v>157</v>
      </c>
      <c r="C102" s="26">
        <v>6</v>
      </c>
      <c r="D102" s="34" t="s">
        <v>101</v>
      </c>
      <c r="E102" s="26">
        <v>2</v>
      </c>
      <c r="F102" s="28" t="s">
        <v>283</v>
      </c>
      <c r="G102" t="str">
        <f t="shared" si="23"/>
        <v>IND14</v>
      </c>
      <c r="H102" t="str">
        <f t="shared" si="21"/>
        <v>C</v>
      </c>
      <c r="I102">
        <f t="shared" si="22"/>
        <v>2</v>
      </c>
      <c r="J102" t="b">
        <f t="shared" si="18"/>
        <v>1</v>
      </c>
      <c r="K102" t="s">
        <v>430</v>
      </c>
      <c r="L102" t="s">
        <v>337</v>
      </c>
      <c r="M102">
        <v>2</v>
      </c>
      <c r="N102" t="str">
        <f t="shared" si="20"/>
        <v>hr26</v>
      </c>
    </row>
    <row r="103" spans="1:14" x14ac:dyDescent="0.25">
      <c r="A103" s="26">
        <v>94</v>
      </c>
      <c r="B103" s="26" t="s">
        <v>106</v>
      </c>
      <c r="C103" s="26">
        <v>6</v>
      </c>
      <c r="D103" s="34" t="s">
        <v>102</v>
      </c>
      <c r="E103" s="26">
        <v>2</v>
      </c>
      <c r="F103" s="28" t="s">
        <v>284</v>
      </c>
      <c r="G103" t="str">
        <f t="shared" si="23"/>
        <v>HR14</v>
      </c>
      <c r="H103" t="str">
        <f t="shared" si="21"/>
        <v>N</v>
      </c>
      <c r="I103">
        <f t="shared" si="22"/>
        <v>2</v>
      </c>
      <c r="J103" t="b">
        <f t="shared" si="18"/>
        <v>1</v>
      </c>
      <c r="K103" t="s">
        <v>431</v>
      </c>
      <c r="L103" t="s">
        <v>337</v>
      </c>
      <c r="M103">
        <v>5</v>
      </c>
      <c r="N103" t="str">
        <f t="shared" si="20"/>
        <v>ern26</v>
      </c>
    </row>
    <row r="104" spans="1:14" x14ac:dyDescent="0.25">
      <c r="A104" s="26">
        <v>95</v>
      </c>
      <c r="B104" s="26" t="s">
        <v>108</v>
      </c>
      <c r="C104" s="26">
        <v>6</v>
      </c>
      <c r="D104" s="34" t="s">
        <v>103</v>
      </c>
      <c r="E104" s="26">
        <v>5</v>
      </c>
      <c r="F104" s="28" t="s">
        <v>285</v>
      </c>
      <c r="G104" t="str">
        <f t="shared" si="23"/>
        <v>ERN14</v>
      </c>
      <c r="H104" t="str">
        <f t="shared" si="21"/>
        <v>N</v>
      </c>
      <c r="I104">
        <f t="shared" si="22"/>
        <v>5</v>
      </c>
      <c r="J104" t="b">
        <f t="shared" si="18"/>
        <v>1</v>
      </c>
      <c r="K104" t="s">
        <v>432</v>
      </c>
      <c r="L104" t="s">
        <v>337</v>
      </c>
      <c r="M104">
        <v>2</v>
      </c>
      <c r="N104" t="str">
        <f t="shared" si="20"/>
        <v>hr6</v>
      </c>
    </row>
    <row r="105" spans="1:14" x14ac:dyDescent="0.25">
      <c r="A105" s="26">
        <v>96</v>
      </c>
      <c r="B105" s="26" t="s">
        <v>62</v>
      </c>
      <c r="C105" s="26">
        <v>6</v>
      </c>
      <c r="D105" s="34" t="s">
        <v>100</v>
      </c>
      <c r="E105" s="26">
        <v>2</v>
      </c>
      <c r="F105" s="28" t="s">
        <v>286</v>
      </c>
      <c r="G105" t="str">
        <f t="shared" si="23"/>
        <v>DAS24</v>
      </c>
      <c r="H105" t="str">
        <f t="shared" si="21"/>
        <v>C</v>
      </c>
      <c r="I105">
        <f t="shared" si="22"/>
        <v>2</v>
      </c>
      <c r="J105" t="b">
        <f t="shared" si="18"/>
        <v>1</v>
      </c>
      <c r="K105" t="s">
        <v>433</v>
      </c>
      <c r="L105" t="s">
        <v>337</v>
      </c>
      <c r="M105">
        <v>2</v>
      </c>
      <c r="N105" t="str">
        <f t="shared" si="20"/>
        <v>ahr6</v>
      </c>
    </row>
    <row r="106" spans="1:14" x14ac:dyDescent="0.25">
      <c r="A106" s="26">
        <v>97</v>
      </c>
      <c r="B106" s="26" t="s">
        <v>158</v>
      </c>
      <c r="C106" s="26">
        <v>6</v>
      </c>
      <c r="D106" s="34" t="s">
        <v>101</v>
      </c>
      <c r="E106" s="26">
        <v>2</v>
      </c>
      <c r="F106" s="28" t="s">
        <v>287</v>
      </c>
      <c r="G106" t="str">
        <f t="shared" si="23"/>
        <v>IND24</v>
      </c>
      <c r="H106" t="str">
        <f t="shared" si="21"/>
        <v>C</v>
      </c>
      <c r="I106">
        <f t="shared" si="22"/>
        <v>2</v>
      </c>
      <c r="J106" t="b">
        <f t="shared" si="18"/>
        <v>1</v>
      </c>
      <c r="K106" t="s">
        <v>434</v>
      </c>
      <c r="L106" t="s">
        <v>333</v>
      </c>
      <c r="M106">
        <v>2</v>
      </c>
      <c r="N106" t="str">
        <f t="shared" ref="N106:N140" si="24">VLOOKUP(K106,$F$2:$F$151,1,FALSE)</f>
        <v>das15</v>
      </c>
    </row>
    <row r="107" spans="1:14" x14ac:dyDescent="0.25">
      <c r="A107" s="26">
        <v>98</v>
      </c>
      <c r="B107" s="26" t="s">
        <v>107</v>
      </c>
      <c r="C107" s="26">
        <v>6</v>
      </c>
      <c r="D107" s="34" t="s">
        <v>102</v>
      </c>
      <c r="E107" s="26">
        <v>2</v>
      </c>
      <c r="F107" s="28" t="s">
        <v>288</v>
      </c>
      <c r="G107" t="str">
        <f t="shared" si="23"/>
        <v>HR24</v>
      </c>
      <c r="H107" t="str">
        <f t="shared" ref="H107:H140" si="25">VLOOKUP(F107,$K$2:$M$186,2,FALSE)</f>
        <v>N</v>
      </c>
      <c r="I107">
        <f t="shared" ref="I107:I140" si="26">VLOOKUP(F107,$K$2:$M$186,3,FALSE)</f>
        <v>2</v>
      </c>
      <c r="J107" t="b">
        <f t="shared" si="18"/>
        <v>1</v>
      </c>
      <c r="K107" t="s">
        <v>435</v>
      </c>
      <c r="L107" t="s">
        <v>333</v>
      </c>
      <c r="M107">
        <v>2</v>
      </c>
      <c r="N107" t="str">
        <f t="shared" si="24"/>
        <v>ind15</v>
      </c>
    </row>
    <row r="108" spans="1:14" x14ac:dyDescent="0.25">
      <c r="A108" s="26">
        <v>99</v>
      </c>
      <c r="B108" s="26" t="s">
        <v>109</v>
      </c>
      <c r="C108" s="26">
        <v>6</v>
      </c>
      <c r="D108" s="34" t="s">
        <v>103</v>
      </c>
      <c r="E108" s="26">
        <v>5</v>
      </c>
      <c r="F108" s="28" t="s">
        <v>289</v>
      </c>
      <c r="G108" t="str">
        <f t="shared" si="23"/>
        <v>ERN24</v>
      </c>
      <c r="H108" t="str">
        <f t="shared" si="25"/>
        <v>N</v>
      </c>
      <c r="I108">
        <f t="shared" si="26"/>
        <v>5</v>
      </c>
      <c r="J108" t="b">
        <f t="shared" si="18"/>
        <v>1</v>
      </c>
      <c r="K108" t="s">
        <v>436</v>
      </c>
      <c r="L108" t="s">
        <v>337</v>
      </c>
      <c r="M108">
        <v>2</v>
      </c>
      <c r="N108" t="str">
        <f t="shared" si="24"/>
        <v>hr15</v>
      </c>
    </row>
    <row r="109" spans="1:14" x14ac:dyDescent="0.25">
      <c r="A109" s="26">
        <v>100</v>
      </c>
      <c r="B109" s="26" t="s">
        <v>110</v>
      </c>
      <c r="C109" s="26">
        <v>6</v>
      </c>
      <c r="D109" s="34" t="s">
        <v>104</v>
      </c>
      <c r="E109" s="26">
        <v>2</v>
      </c>
      <c r="F109" s="28" t="s">
        <v>290</v>
      </c>
      <c r="G109" t="str">
        <f t="shared" si="23"/>
        <v>HR4</v>
      </c>
      <c r="H109" t="str">
        <f t="shared" si="25"/>
        <v>N</v>
      </c>
      <c r="I109">
        <f t="shared" si="26"/>
        <v>2</v>
      </c>
      <c r="J109" t="b">
        <f t="shared" si="18"/>
        <v>1</v>
      </c>
      <c r="K109" t="s">
        <v>437</v>
      </c>
      <c r="L109" t="s">
        <v>337</v>
      </c>
      <c r="M109">
        <v>5</v>
      </c>
      <c r="N109" t="str">
        <f t="shared" si="24"/>
        <v>ern15</v>
      </c>
    </row>
    <row r="110" spans="1:14" x14ac:dyDescent="0.25">
      <c r="A110" s="26">
        <v>101</v>
      </c>
      <c r="B110" s="26" t="s">
        <v>111</v>
      </c>
      <c r="C110" s="26">
        <v>6</v>
      </c>
      <c r="D110" s="34" t="s">
        <v>105</v>
      </c>
      <c r="E110" s="26">
        <v>2</v>
      </c>
      <c r="F110" s="28" t="s">
        <v>291</v>
      </c>
      <c r="G110" t="str">
        <f t="shared" si="23"/>
        <v>AHR4</v>
      </c>
      <c r="H110" t="str">
        <f t="shared" si="25"/>
        <v>N</v>
      </c>
      <c r="I110">
        <f t="shared" si="26"/>
        <v>2</v>
      </c>
      <c r="J110" t="b">
        <f t="shared" si="18"/>
        <v>1</v>
      </c>
      <c r="K110" t="s">
        <v>438</v>
      </c>
      <c r="L110" t="s">
        <v>333</v>
      </c>
      <c r="M110">
        <v>2</v>
      </c>
      <c r="N110" t="str">
        <f t="shared" si="24"/>
        <v>das25</v>
      </c>
    </row>
    <row r="111" spans="1:14" x14ac:dyDescent="0.25">
      <c r="A111" s="26">
        <v>102</v>
      </c>
      <c r="B111" s="26" t="s">
        <v>61</v>
      </c>
      <c r="C111" s="26">
        <v>6</v>
      </c>
      <c r="D111" s="34" t="s">
        <v>112</v>
      </c>
      <c r="E111" s="26">
        <v>2</v>
      </c>
      <c r="F111" s="28" t="s">
        <v>292</v>
      </c>
      <c r="G111" t="str">
        <f t="shared" si="23"/>
        <v>DAS13</v>
      </c>
      <c r="H111" t="str">
        <f t="shared" si="25"/>
        <v>C</v>
      </c>
      <c r="I111">
        <f t="shared" si="26"/>
        <v>2</v>
      </c>
      <c r="J111" t="b">
        <f t="shared" si="18"/>
        <v>1</v>
      </c>
      <c r="K111" t="s">
        <v>439</v>
      </c>
      <c r="L111" t="s">
        <v>333</v>
      </c>
      <c r="M111">
        <v>2</v>
      </c>
      <c r="N111" t="str">
        <f t="shared" si="24"/>
        <v>ind25</v>
      </c>
    </row>
    <row r="112" spans="1:14" x14ac:dyDescent="0.25">
      <c r="A112" s="26">
        <v>103</v>
      </c>
      <c r="B112" s="26" t="s">
        <v>157</v>
      </c>
      <c r="C112" s="26">
        <v>6</v>
      </c>
      <c r="D112" s="34" t="s">
        <v>113</v>
      </c>
      <c r="E112" s="26">
        <v>2</v>
      </c>
      <c r="F112" s="28" t="s">
        <v>293</v>
      </c>
      <c r="G112" t="str">
        <f t="shared" si="23"/>
        <v>IND13</v>
      </c>
      <c r="H112" t="str">
        <f t="shared" si="25"/>
        <v>C</v>
      </c>
      <c r="I112">
        <f t="shared" si="26"/>
        <v>2</v>
      </c>
      <c r="J112" t="b">
        <f t="shared" si="18"/>
        <v>1</v>
      </c>
      <c r="K112" t="s">
        <v>440</v>
      </c>
      <c r="L112" t="s">
        <v>337</v>
      </c>
      <c r="M112">
        <v>2</v>
      </c>
      <c r="N112" t="str">
        <f t="shared" si="24"/>
        <v>hr25</v>
      </c>
    </row>
    <row r="113" spans="1:14" x14ac:dyDescent="0.25">
      <c r="A113" s="26">
        <v>104</v>
      </c>
      <c r="B113" s="26" t="s">
        <v>118</v>
      </c>
      <c r="C113" s="26">
        <v>6</v>
      </c>
      <c r="D113" s="34" t="s">
        <v>114</v>
      </c>
      <c r="E113" s="26">
        <v>2</v>
      </c>
      <c r="F113" s="28" t="s">
        <v>294</v>
      </c>
      <c r="G113" t="str">
        <f t="shared" si="23"/>
        <v>HR13</v>
      </c>
      <c r="H113" t="str">
        <f t="shared" si="25"/>
        <v>N</v>
      </c>
      <c r="I113">
        <f t="shared" si="26"/>
        <v>2</v>
      </c>
      <c r="J113" t="b">
        <f t="shared" si="18"/>
        <v>1</v>
      </c>
      <c r="K113" t="s">
        <v>441</v>
      </c>
      <c r="L113" t="s">
        <v>337</v>
      </c>
      <c r="M113">
        <v>5</v>
      </c>
      <c r="N113" t="str">
        <f t="shared" si="24"/>
        <v>ern25</v>
      </c>
    </row>
    <row r="114" spans="1:14" x14ac:dyDescent="0.25">
      <c r="A114" s="26">
        <v>105</v>
      </c>
      <c r="B114" s="26" t="s">
        <v>119</v>
      </c>
      <c r="C114" s="26">
        <v>6</v>
      </c>
      <c r="D114" s="34" t="s">
        <v>115</v>
      </c>
      <c r="E114" s="26">
        <v>5</v>
      </c>
      <c r="F114" s="28" t="s">
        <v>295</v>
      </c>
      <c r="G114" t="str">
        <f t="shared" si="23"/>
        <v>ERN13</v>
      </c>
      <c r="H114" t="str">
        <f t="shared" si="25"/>
        <v>N</v>
      </c>
      <c r="I114">
        <f t="shared" si="26"/>
        <v>5</v>
      </c>
      <c r="J114" t="b">
        <f t="shared" si="18"/>
        <v>1</v>
      </c>
      <c r="K114" t="s">
        <v>442</v>
      </c>
      <c r="L114" t="s">
        <v>337</v>
      </c>
      <c r="M114">
        <v>2</v>
      </c>
      <c r="N114" t="str">
        <f t="shared" si="24"/>
        <v>hr5</v>
      </c>
    </row>
    <row r="115" spans="1:14" x14ac:dyDescent="0.25">
      <c r="A115" s="26">
        <v>106</v>
      </c>
      <c r="B115" s="26" t="s">
        <v>62</v>
      </c>
      <c r="C115" s="26">
        <v>6</v>
      </c>
      <c r="D115" s="34" t="s">
        <v>112</v>
      </c>
      <c r="E115" s="26">
        <v>2</v>
      </c>
      <c r="F115" s="28" t="s">
        <v>296</v>
      </c>
      <c r="G115" t="str">
        <f t="shared" si="23"/>
        <v>DAS23</v>
      </c>
      <c r="H115" t="str">
        <f t="shared" si="25"/>
        <v>C</v>
      </c>
      <c r="I115">
        <f t="shared" si="26"/>
        <v>2</v>
      </c>
      <c r="J115" t="b">
        <f t="shared" si="18"/>
        <v>1</v>
      </c>
      <c r="K115" t="s">
        <v>443</v>
      </c>
      <c r="L115" t="s">
        <v>337</v>
      </c>
      <c r="M115">
        <v>2</v>
      </c>
      <c r="N115" t="str">
        <f t="shared" si="24"/>
        <v>ahr5</v>
      </c>
    </row>
    <row r="116" spans="1:14" x14ac:dyDescent="0.25">
      <c r="A116" s="26">
        <v>107</v>
      </c>
      <c r="B116" s="26" t="s">
        <v>158</v>
      </c>
      <c r="C116" s="26">
        <v>6</v>
      </c>
      <c r="D116" s="34" t="s">
        <v>113</v>
      </c>
      <c r="E116" s="26">
        <v>2</v>
      </c>
      <c r="F116" s="28" t="s">
        <v>297</v>
      </c>
      <c r="G116" t="str">
        <f t="shared" si="23"/>
        <v>IND23</v>
      </c>
      <c r="H116" t="str">
        <f t="shared" si="25"/>
        <v>C</v>
      </c>
      <c r="I116">
        <f t="shared" si="26"/>
        <v>2</v>
      </c>
      <c r="J116" t="b">
        <f t="shared" si="18"/>
        <v>1</v>
      </c>
      <c r="K116" t="s">
        <v>444</v>
      </c>
      <c r="L116" t="s">
        <v>333</v>
      </c>
      <c r="M116">
        <v>2</v>
      </c>
      <c r="N116" t="str">
        <f t="shared" si="24"/>
        <v>das14</v>
      </c>
    </row>
    <row r="117" spans="1:14" x14ac:dyDescent="0.25">
      <c r="A117" s="26">
        <v>108</v>
      </c>
      <c r="B117" s="26" t="s">
        <v>120</v>
      </c>
      <c r="C117" s="26">
        <v>6</v>
      </c>
      <c r="D117" s="34" t="s">
        <v>114</v>
      </c>
      <c r="E117" s="26">
        <v>2</v>
      </c>
      <c r="F117" s="28" t="s">
        <v>298</v>
      </c>
      <c r="G117" t="str">
        <f t="shared" si="23"/>
        <v>HR23</v>
      </c>
      <c r="H117" t="str">
        <f t="shared" si="25"/>
        <v>N</v>
      </c>
      <c r="I117">
        <f t="shared" si="26"/>
        <v>2</v>
      </c>
      <c r="J117" t="b">
        <f t="shared" si="18"/>
        <v>1</v>
      </c>
      <c r="K117" t="s">
        <v>445</v>
      </c>
      <c r="L117" t="s">
        <v>333</v>
      </c>
      <c r="M117">
        <v>2</v>
      </c>
      <c r="N117" t="str">
        <f t="shared" si="24"/>
        <v>ind14</v>
      </c>
    </row>
    <row r="118" spans="1:14" x14ac:dyDescent="0.25">
      <c r="A118" s="26">
        <v>109</v>
      </c>
      <c r="B118" s="26" t="s">
        <v>121</v>
      </c>
      <c r="C118" s="26">
        <v>6</v>
      </c>
      <c r="D118" s="34" t="s">
        <v>115</v>
      </c>
      <c r="E118" s="26">
        <v>5</v>
      </c>
      <c r="F118" s="28" t="s">
        <v>299</v>
      </c>
      <c r="G118" t="str">
        <f t="shared" si="23"/>
        <v>ERN23</v>
      </c>
      <c r="H118" t="str">
        <f t="shared" si="25"/>
        <v>N</v>
      </c>
      <c r="I118">
        <f t="shared" si="26"/>
        <v>5</v>
      </c>
      <c r="J118" t="b">
        <f t="shared" si="18"/>
        <v>1</v>
      </c>
      <c r="K118" t="s">
        <v>446</v>
      </c>
      <c r="L118" t="s">
        <v>337</v>
      </c>
      <c r="M118">
        <v>2</v>
      </c>
      <c r="N118" t="str">
        <f t="shared" si="24"/>
        <v>hr14</v>
      </c>
    </row>
    <row r="119" spans="1:14" x14ac:dyDescent="0.25">
      <c r="A119" s="26">
        <v>110</v>
      </c>
      <c r="B119" s="26" t="s">
        <v>122</v>
      </c>
      <c r="C119" s="26">
        <v>6</v>
      </c>
      <c r="D119" s="34" t="s">
        <v>116</v>
      </c>
      <c r="E119" s="26">
        <v>2</v>
      </c>
      <c r="F119" s="28" t="s">
        <v>300</v>
      </c>
      <c r="G119" t="str">
        <f t="shared" si="23"/>
        <v>HR3</v>
      </c>
      <c r="H119" t="str">
        <f t="shared" si="25"/>
        <v>N</v>
      </c>
      <c r="I119">
        <f t="shared" si="26"/>
        <v>2</v>
      </c>
      <c r="J119" t="b">
        <f t="shared" si="18"/>
        <v>1</v>
      </c>
      <c r="K119" t="s">
        <v>447</v>
      </c>
      <c r="L119" t="s">
        <v>337</v>
      </c>
      <c r="M119">
        <v>5</v>
      </c>
      <c r="N119" t="str">
        <f t="shared" si="24"/>
        <v>ern14</v>
      </c>
    </row>
    <row r="120" spans="1:14" x14ac:dyDescent="0.25">
      <c r="A120" s="26">
        <v>111</v>
      </c>
      <c r="B120" s="26" t="s">
        <v>123</v>
      </c>
      <c r="C120" s="26">
        <v>6</v>
      </c>
      <c r="D120" s="34" t="s">
        <v>117</v>
      </c>
      <c r="E120" s="26">
        <v>2</v>
      </c>
      <c r="F120" s="28" t="s">
        <v>301</v>
      </c>
      <c r="G120" t="str">
        <f t="shared" si="23"/>
        <v>AHR3</v>
      </c>
      <c r="H120" t="str">
        <f t="shared" si="25"/>
        <v>N</v>
      </c>
      <c r="I120">
        <f t="shared" si="26"/>
        <v>2</v>
      </c>
      <c r="J120" t="b">
        <f t="shared" si="18"/>
        <v>1</v>
      </c>
      <c r="K120" t="s">
        <v>448</v>
      </c>
      <c r="L120" t="s">
        <v>333</v>
      </c>
      <c r="M120">
        <v>2</v>
      </c>
      <c r="N120" t="str">
        <f t="shared" si="24"/>
        <v>das24</v>
      </c>
    </row>
    <row r="121" spans="1:14" x14ac:dyDescent="0.25">
      <c r="A121" s="26">
        <v>112</v>
      </c>
      <c r="B121" s="26" t="s">
        <v>61</v>
      </c>
      <c r="C121" s="26">
        <v>6</v>
      </c>
      <c r="D121" s="34" t="s">
        <v>130</v>
      </c>
      <c r="E121" s="26">
        <v>2</v>
      </c>
      <c r="F121" s="28" t="s">
        <v>302</v>
      </c>
      <c r="G121" t="str">
        <f t="shared" si="23"/>
        <v>DAS12</v>
      </c>
      <c r="H121" t="str">
        <f t="shared" si="25"/>
        <v>C</v>
      </c>
      <c r="I121">
        <f t="shared" si="26"/>
        <v>2</v>
      </c>
      <c r="J121" t="b">
        <f t="shared" si="18"/>
        <v>1</v>
      </c>
      <c r="K121" t="s">
        <v>449</v>
      </c>
      <c r="L121" t="s">
        <v>333</v>
      </c>
      <c r="M121">
        <v>2</v>
      </c>
      <c r="N121" t="str">
        <f t="shared" si="24"/>
        <v>ind24</v>
      </c>
    </row>
    <row r="122" spans="1:14" x14ac:dyDescent="0.25">
      <c r="A122" s="26">
        <v>113</v>
      </c>
      <c r="B122" s="26" t="s">
        <v>157</v>
      </c>
      <c r="C122" s="26">
        <v>6</v>
      </c>
      <c r="D122" s="34" t="s">
        <v>131</v>
      </c>
      <c r="E122" s="26">
        <v>2</v>
      </c>
      <c r="F122" s="28" t="s">
        <v>303</v>
      </c>
      <c r="G122" t="str">
        <f t="shared" si="23"/>
        <v>IND12</v>
      </c>
      <c r="H122" t="str">
        <f t="shared" si="25"/>
        <v>C</v>
      </c>
      <c r="I122">
        <f t="shared" si="26"/>
        <v>2</v>
      </c>
      <c r="J122" t="b">
        <f t="shared" si="18"/>
        <v>1</v>
      </c>
      <c r="K122" t="s">
        <v>450</v>
      </c>
      <c r="L122" t="s">
        <v>337</v>
      </c>
      <c r="M122">
        <v>2</v>
      </c>
      <c r="N122" t="str">
        <f t="shared" si="24"/>
        <v>hr24</v>
      </c>
    </row>
    <row r="123" spans="1:14" x14ac:dyDescent="0.25">
      <c r="A123" s="26">
        <v>114</v>
      </c>
      <c r="B123" s="26" t="s">
        <v>124</v>
      </c>
      <c r="C123" s="26">
        <v>6</v>
      </c>
      <c r="D123" s="34" t="s">
        <v>132</v>
      </c>
      <c r="E123" s="26">
        <v>2</v>
      </c>
      <c r="F123" s="28" t="s">
        <v>304</v>
      </c>
      <c r="G123" t="str">
        <f t="shared" si="23"/>
        <v>HR12</v>
      </c>
      <c r="H123" t="str">
        <f t="shared" si="25"/>
        <v>N</v>
      </c>
      <c r="I123">
        <f t="shared" si="26"/>
        <v>2</v>
      </c>
      <c r="J123" t="b">
        <f t="shared" si="18"/>
        <v>1</v>
      </c>
      <c r="K123" t="s">
        <v>451</v>
      </c>
      <c r="L123" t="s">
        <v>337</v>
      </c>
      <c r="M123">
        <v>5</v>
      </c>
      <c r="N123" t="str">
        <f t="shared" si="24"/>
        <v>ern24</v>
      </c>
    </row>
    <row r="124" spans="1:14" x14ac:dyDescent="0.25">
      <c r="A124" s="26">
        <v>115</v>
      </c>
      <c r="B124" s="26" t="s">
        <v>125</v>
      </c>
      <c r="C124" s="26">
        <v>6</v>
      </c>
      <c r="D124" s="34" t="s">
        <v>68</v>
      </c>
      <c r="E124" s="26">
        <v>5</v>
      </c>
      <c r="F124" s="28" t="s">
        <v>305</v>
      </c>
      <c r="G124" t="str">
        <f t="shared" si="23"/>
        <v>ERN12</v>
      </c>
      <c r="H124" t="str">
        <f t="shared" si="25"/>
        <v>N</v>
      </c>
      <c r="I124">
        <f t="shared" si="26"/>
        <v>5</v>
      </c>
      <c r="J124" t="b">
        <f t="shared" si="18"/>
        <v>1</v>
      </c>
      <c r="K124" t="s">
        <v>452</v>
      </c>
      <c r="L124" t="s">
        <v>337</v>
      </c>
      <c r="M124">
        <v>2</v>
      </c>
      <c r="N124" t="str">
        <f t="shared" si="24"/>
        <v>hr4</v>
      </c>
    </row>
    <row r="125" spans="1:14" x14ac:dyDescent="0.25">
      <c r="A125" s="26">
        <v>116</v>
      </c>
      <c r="B125" s="26" t="s">
        <v>62</v>
      </c>
      <c r="C125" s="26">
        <v>6</v>
      </c>
      <c r="D125" s="34" t="s">
        <v>130</v>
      </c>
      <c r="E125" s="26">
        <v>2</v>
      </c>
      <c r="F125" s="28" t="s">
        <v>306</v>
      </c>
      <c r="G125" t="str">
        <f t="shared" si="23"/>
        <v>DAS22</v>
      </c>
      <c r="H125" t="str">
        <f t="shared" si="25"/>
        <v>C</v>
      </c>
      <c r="I125">
        <f t="shared" si="26"/>
        <v>2</v>
      </c>
      <c r="J125" t="b">
        <f t="shared" si="18"/>
        <v>1</v>
      </c>
      <c r="K125" t="s">
        <v>453</v>
      </c>
      <c r="L125" t="s">
        <v>337</v>
      </c>
      <c r="M125">
        <v>2</v>
      </c>
      <c r="N125" t="str">
        <f t="shared" si="24"/>
        <v>ahr4</v>
      </c>
    </row>
    <row r="126" spans="1:14" x14ac:dyDescent="0.25">
      <c r="A126" s="26">
        <v>117</v>
      </c>
      <c r="B126" s="26" t="s">
        <v>158</v>
      </c>
      <c r="C126" s="26">
        <v>6</v>
      </c>
      <c r="D126" s="34" t="s">
        <v>131</v>
      </c>
      <c r="E126" s="26">
        <v>2</v>
      </c>
      <c r="F126" s="28" t="s">
        <v>307</v>
      </c>
      <c r="G126" t="str">
        <f t="shared" si="23"/>
        <v>IND22</v>
      </c>
      <c r="H126" t="str">
        <f t="shared" si="25"/>
        <v>C</v>
      </c>
      <c r="I126">
        <f t="shared" si="26"/>
        <v>2</v>
      </c>
      <c r="J126" t="b">
        <f t="shared" si="18"/>
        <v>1</v>
      </c>
      <c r="K126" t="s">
        <v>454</v>
      </c>
      <c r="L126" t="s">
        <v>333</v>
      </c>
      <c r="M126">
        <v>2</v>
      </c>
      <c r="N126" t="str">
        <f t="shared" si="24"/>
        <v>das13</v>
      </c>
    </row>
    <row r="127" spans="1:14" x14ac:dyDescent="0.25">
      <c r="A127" s="26">
        <v>118</v>
      </c>
      <c r="B127" s="26" t="s">
        <v>126</v>
      </c>
      <c r="C127" s="26">
        <v>6</v>
      </c>
      <c r="D127" s="34" t="s">
        <v>132</v>
      </c>
      <c r="E127" s="26">
        <v>2</v>
      </c>
      <c r="F127" s="28" t="s">
        <v>308</v>
      </c>
      <c r="G127" t="str">
        <f t="shared" si="23"/>
        <v>HR22</v>
      </c>
      <c r="H127" t="str">
        <f t="shared" si="25"/>
        <v>N</v>
      </c>
      <c r="I127">
        <f t="shared" si="26"/>
        <v>2</v>
      </c>
      <c r="J127" t="b">
        <f t="shared" si="18"/>
        <v>1</v>
      </c>
      <c r="K127" t="s">
        <v>455</v>
      </c>
      <c r="L127" t="s">
        <v>333</v>
      </c>
      <c r="M127">
        <v>2</v>
      </c>
      <c r="N127" t="str">
        <f t="shared" si="24"/>
        <v>ind13</v>
      </c>
    </row>
    <row r="128" spans="1:14" x14ac:dyDescent="0.25">
      <c r="A128" s="26">
        <v>119</v>
      </c>
      <c r="B128" s="26" t="s">
        <v>127</v>
      </c>
      <c r="C128" s="26">
        <v>6</v>
      </c>
      <c r="D128" s="34" t="s">
        <v>68</v>
      </c>
      <c r="E128" s="26">
        <v>5</v>
      </c>
      <c r="F128" s="28" t="s">
        <v>309</v>
      </c>
      <c r="G128" t="str">
        <f t="shared" si="23"/>
        <v>ERN22</v>
      </c>
      <c r="H128" t="str">
        <f t="shared" si="25"/>
        <v>N</v>
      </c>
      <c r="I128">
        <f t="shared" si="26"/>
        <v>5</v>
      </c>
      <c r="J128" t="b">
        <f t="shared" si="18"/>
        <v>1</v>
      </c>
      <c r="K128" t="s">
        <v>456</v>
      </c>
      <c r="L128" t="s">
        <v>337</v>
      </c>
      <c r="M128">
        <v>2</v>
      </c>
      <c r="N128" t="str">
        <f t="shared" si="24"/>
        <v>hr13</v>
      </c>
    </row>
    <row r="129" spans="1:15" x14ac:dyDescent="0.25">
      <c r="A129" s="26">
        <v>120</v>
      </c>
      <c r="B129" s="26" t="s">
        <v>128</v>
      </c>
      <c r="C129" s="26">
        <v>6</v>
      </c>
      <c r="D129" s="34" t="s">
        <v>133</v>
      </c>
      <c r="E129" s="26">
        <v>2</v>
      </c>
      <c r="F129" s="28" t="s">
        <v>310</v>
      </c>
      <c r="G129" t="str">
        <f t="shared" si="23"/>
        <v>HR2</v>
      </c>
      <c r="H129" t="str">
        <f t="shared" si="25"/>
        <v>N</v>
      </c>
      <c r="I129">
        <f t="shared" si="26"/>
        <v>2</v>
      </c>
      <c r="J129" t="b">
        <f t="shared" si="18"/>
        <v>1</v>
      </c>
      <c r="K129" t="s">
        <v>457</v>
      </c>
      <c r="L129" t="s">
        <v>337</v>
      </c>
      <c r="M129">
        <v>5</v>
      </c>
      <c r="N129" t="str">
        <f t="shared" si="24"/>
        <v>ern13</v>
      </c>
    </row>
    <row r="130" spans="1:15" x14ac:dyDescent="0.25">
      <c r="A130" s="26">
        <v>121</v>
      </c>
      <c r="B130" s="26" t="s">
        <v>129</v>
      </c>
      <c r="C130" s="26">
        <v>6</v>
      </c>
      <c r="D130" s="34" t="s">
        <v>134</v>
      </c>
      <c r="E130" s="26">
        <v>2</v>
      </c>
      <c r="F130" s="28" t="s">
        <v>311</v>
      </c>
      <c r="G130" t="str">
        <f t="shared" si="23"/>
        <v>AHR2</v>
      </c>
      <c r="H130" t="str">
        <f t="shared" si="25"/>
        <v>N</v>
      </c>
      <c r="I130">
        <f t="shared" si="26"/>
        <v>2</v>
      </c>
      <c r="J130" t="b">
        <f t="shared" si="18"/>
        <v>1</v>
      </c>
      <c r="K130" t="s">
        <v>458</v>
      </c>
      <c r="L130" t="s">
        <v>333</v>
      </c>
      <c r="M130">
        <v>2</v>
      </c>
      <c r="N130" t="str">
        <f t="shared" si="24"/>
        <v>das23</v>
      </c>
    </row>
    <row r="131" spans="1:15" x14ac:dyDescent="0.25">
      <c r="A131" s="26">
        <v>122</v>
      </c>
      <c r="B131" s="26" t="s">
        <v>61</v>
      </c>
      <c r="C131" s="26">
        <v>6</v>
      </c>
      <c r="D131" s="34" t="s">
        <v>135</v>
      </c>
      <c r="E131" s="26">
        <v>2</v>
      </c>
      <c r="F131" s="28" t="s">
        <v>312</v>
      </c>
      <c r="G131" t="str">
        <f t="shared" si="23"/>
        <v>DAS11</v>
      </c>
      <c r="H131" t="str">
        <f t="shared" si="25"/>
        <v>C</v>
      </c>
      <c r="I131">
        <f t="shared" si="26"/>
        <v>2</v>
      </c>
      <c r="J131" t="b">
        <f t="shared" ref="J131:J186" si="27">E131=I131</f>
        <v>1</v>
      </c>
      <c r="K131" t="s">
        <v>459</v>
      </c>
      <c r="L131" t="s">
        <v>333</v>
      </c>
      <c r="M131">
        <v>2</v>
      </c>
      <c r="N131" t="str">
        <f t="shared" si="24"/>
        <v>ind23</v>
      </c>
    </row>
    <row r="132" spans="1:15" x14ac:dyDescent="0.25">
      <c r="A132" s="26">
        <v>123</v>
      </c>
      <c r="B132" s="26" t="s">
        <v>157</v>
      </c>
      <c r="C132" s="26">
        <v>6</v>
      </c>
      <c r="D132" s="34" t="s">
        <v>136</v>
      </c>
      <c r="E132" s="26">
        <v>2</v>
      </c>
      <c r="F132" s="28" t="s">
        <v>313</v>
      </c>
      <c r="G132" t="str">
        <f t="shared" si="23"/>
        <v>IND11</v>
      </c>
      <c r="H132" t="str">
        <f t="shared" si="25"/>
        <v>C</v>
      </c>
      <c r="I132">
        <f t="shared" si="26"/>
        <v>2</v>
      </c>
      <c r="J132" t="b">
        <f t="shared" si="27"/>
        <v>1</v>
      </c>
      <c r="K132" t="s">
        <v>460</v>
      </c>
      <c r="L132" t="s">
        <v>337</v>
      </c>
      <c r="M132">
        <v>2</v>
      </c>
      <c r="N132" t="str">
        <f t="shared" si="24"/>
        <v>hr23</v>
      </c>
    </row>
    <row r="133" spans="1:15" x14ac:dyDescent="0.25">
      <c r="A133" s="26">
        <v>124</v>
      </c>
      <c r="B133" s="26" t="s">
        <v>140</v>
      </c>
      <c r="C133" s="26">
        <v>6</v>
      </c>
      <c r="D133" s="34" t="s">
        <v>137</v>
      </c>
      <c r="E133" s="26">
        <v>2</v>
      </c>
      <c r="F133" s="28" t="s">
        <v>314</v>
      </c>
      <c r="G133" t="str">
        <f t="shared" ref="G133:G140" si="28">VLOOKUP(F133,$K$2:$M$186,1,FALSE)</f>
        <v>HR11</v>
      </c>
      <c r="H133" t="str">
        <f t="shared" si="25"/>
        <v>N</v>
      </c>
      <c r="I133">
        <f t="shared" si="26"/>
        <v>2</v>
      </c>
      <c r="J133" t="b">
        <f t="shared" si="27"/>
        <v>1</v>
      </c>
      <c r="K133" t="s">
        <v>461</v>
      </c>
      <c r="L133" t="s">
        <v>337</v>
      </c>
      <c r="M133">
        <v>5</v>
      </c>
      <c r="N133" t="str">
        <f t="shared" si="24"/>
        <v>ern23</v>
      </c>
    </row>
    <row r="134" spans="1:15" x14ac:dyDescent="0.25">
      <c r="A134" s="26">
        <v>125</v>
      </c>
      <c r="B134" s="26" t="s">
        <v>141</v>
      </c>
      <c r="C134" s="26">
        <v>6</v>
      </c>
      <c r="D134" s="34" t="s">
        <v>67</v>
      </c>
      <c r="E134" s="26">
        <v>5</v>
      </c>
      <c r="F134" s="28" t="s">
        <v>315</v>
      </c>
      <c r="G134" t="str">
        <f t="shared" si="28"/>
        <v>ERN11</v>
      </c>
      <c r="H134" t="str">
        <f t="shared" si="25"/>
        <v>N</v>
      </c>
      <c r="I134">
        <f t="shared" si="26"/>
        <v>5</v>
      </c>
      <c r="J134" t="b">
        <f t="shared" si="27"/>
        <v>1</v>
      </c>
      <c r="K134" t="s">
        <v>462</v>
      </c>
      <c r="L134" t="s">
        <v>337</v>
      </c>
      <c r="M134">
        <v>2</v>
      </c>
      <c r="N134" t="str">
        <f t="shared" si="24"/>
        <v>hr3</v>
      </c>
    </row>
    <row r="135" spans="1:15" x14ac:dyDescent="0.25">
      <c r="A135" s="26">
        <v>126</v>
      </c>
      <c r="B135" s="26" t="s">
        <v>62</v>
      </c>
      <c r="C135" s="26">
        <v>6</v>
      </c>
      <c r="D135" s="34" t="s">
        <v>135</v>
      </c>
      <c r="E135" s="26">
        <v>2</v>
      </c>
      <c r="F135" s="28" t="s">
        <v>316</v>
      </c>
      <c r="G135" t="str">
        <f t="shared" si="28"/>
        <v>DAS21</v>
      </c>
      <c r="H135" t="str">
        <f t="shared" si="25"/>
        <v>C</v>
      </c>
      <c r="I135">
        <f t="shared" si="26"/>
        <v>2</v>
      </c>
      <c r="J135" t="b">
        <f t="shared" si="27"/>
        <v>1</v>
      </c>
      <c r="K135" t="s">
        <v>463</v>
      </c>
      <c r="L135" t="s">
        <v>337</v>
      </c>
      <c r="M135">
        <v>2</v>
      </c>
      <c r="N135" t="str">
        <f t="shared" si="24"/>
        <v>ahr3</v>
      </c>
    </row>
    <row r="136" spans="1:15" x14ac:dyDescent="0.25">
      <c r="A136" s="26">
        <v>127</v>
      </c>
      <c r="B136" s="26" t="s">
        <v>158</v>
      </c>
      <c r="C136" s="26">
        <v>6</v>
      </c>
      <c r="D136" s="34" t="s">
        <v>136</v>
      </c>
      <c r="E136" s="26">
        <v>2</v>
      </c>
      <c r="F136" s="28" t="s">
        <v>317</v>
      </c>
      <c r="G136" t="str">
        <f t="shared" si="28"/>
        <v>IND21</v>
      </c>
      <c r="H136" t="str">
        <f t="shared" si="25"/>
        <v>C</v>
      </c>
      <c r="I136">
        <f t="shared" si="26"/>
        <v>2</v>
      </c>
      <c r="J136" t="b">
        <f t="shared" si="27"/>
        <v>1</v>
      </c>
      <c r="K136" t="s">
        <v>464</v>
      </c>
      <c r="L136" t="s">
        <v>333</v>
      </c>
      <c r="M136">
        <v>2</v>
      </c>
      <c r="N136" t="str">
        <f t="shared" si="24"/>
        <v>das12</v>
      </c>
    </row>
    <row r="137" spans="1:15" x14ac:dyDescent="0.25">
      <c r="A137" s="26">
        <v>128</v>
      </c>
      <c r="B137" s="26" t="s">
        <v>142</v>
      </c>
      <c r="C137" s="26">
        <v>6</v>
      </c>
      <c r="D137" s="34" t="s">
        <v>137</v>
      </c>
      <c r="E137" s="26">
        <v>2</v>
      </c>
      <c r="F137" s="28" t="s">
        <v>318</v>
      </c>
      <c r="G137" t="str">
        <f t="shared" si="28"/>
        <v>HR21</v>
      </c>
      <c r="H137" t="str">
        <f t="shared" si="25"/>
        <v>N</v>
      </c>
      <c r="I137">
        <f t="shared" si="26"/>
        <v>2</v>
      </c>
      <c r="J137" t="b">
        <f t="shared" si="27"/>
        <v>1</v>
      </c>
      <c r="K137" t="s">
        <v>465</v>
      </c>
      <c r="L137" t="s">
        <v>333</v>
      </c>
      <c r="M137">
        <v>2</v>
      </c>
      <c r="N137" t="str">
        <f t="shared" si="24"/>
        <v>ind12</v>
      </c>
    </row>
    <row r="138" spans="1:15" x14ac:dyDescent="0.25">
      <c r="A138" s="26">
        <v>129</v>
      </c>
      <c r="B138" s="26" t="s">
        <v>143</v>
      </c>
      <c r="C138" s="26">
        <v>6</v>
      </c>
      <c r="D138" s="34" t="s">
        <v>67</v>
      </c>
      <c r="E138" s="26">
        <v>5</v>
      </c>
      <c r="F138" s="28" t="s">
        <v>319</v>
      </c>
      <c r="G138" t="str">
        <f t="shared" si="28"/>
        <v>ERN21</v>
      </c>
      <c r="H138" t="str">
        <f t="shared" si="25"/>
        <v>N</v>
      </c>
      <c r="I138">
        <f t="shared" si="26"/>
        <v>5</v>
      </c>
      <c r="J138" t="b">
        <f t="shared" si="27"/>
        <v>1</v>
      </c>
      <c r="K138" t="s">
        <v>466</v>
      </c>
      <c r="L138" t="s">
        <v>337</v>
      </c>
      <c r="M138">
        <v>2</v>
      </c>
      <c r="N138" t="str">
        <f t="shared" si="24"/>
        <v>hr12</v>
      </c>
    </row>
    <row r="139" spans="1:15" x14ac:dyDescent="0.25">
      <c r="A139" s="26">
        <v>130</v>
      </c>
      <c r="B139" s="26" t="s">
        <v>144</v>
      </c>
      <c r="C139" s="26">
        <v>6</v>
      </c>
      <c r="D139" s="34" t="s">
        <v>138</v>
      </c>
      <c r="E139" s="26">
        <v>2</v>
      </c>
      <c r="F139" s="28" t="s">
        <v>320</v>
      </c>
      <c r="G139" t="str">
        <f t="shared" si="28"/>
        <v>HR1</v>
      </c>
      <c r="H139" t="str">
        <f t="shared" si="25"/>
        <v>N</v>
      </c>
      <c r="I139">
        <f t="shared" si="26"/>
        <v>2</v>
      </c>
      <c r="J139" t="b">
        <f t="shared" si="27"/>
        <v>1</v>
      </c>
      <c r="K139" t="s">
        <v>467</v>
      </c>
      <c r="L139" t="s">
        <v>337</v>
      </c>
      <c r="M139">
        <v>5</v>
      </c>
      <c r="N139" t="str">
        <f t="shared" si="24"/>
        <v>ern12</v>
      </c>
    </row>
    <row r="140" spans="1:15" x14ac:dyDescent="0.25">
      <c r="A140" s="26">
        <v>131</v>
      </c>
      <c r="B140" s="26" t="s">
        <v>145</v>
      </c>
      <c r="C140" s="26">
        <v>6</v>
      </c>
      <c r="D140" s="34" t="s">
        <v>139</v>
      </c>
      <c r="E140" s="26">
        <v>2</v>
      </c>
      <c r="F140" s="28" t="s">
        <v>321</v>
      </c>
      <c r="G140" t="str">
        <f t="shared" si="28"/>
        <v>AHR1</v>
      </c>
      <c r="H140" t="str">
        <f t="shared" si="25"/>
        <v>N</v>
      </c>
      <c r="I140">
        <f t="shared" si="26"/>
        <v>2</v>
      </c>
      <c r="J140" t="b">
        <f t="shared" si="27"/>
        <v>1</v>
      </c>
      <c r="K140" t="s">
        <v>468</v>
      </c>
      <c r="L140" t="s">
        <v>333</v>
      </c>
      <c r="M140">
        <v>2</v>
      </c>
      <c r="N140" t="str">
        <f t="shared" si="24"/>
        <v>das22</v>
      </c>
    </row>
    <row r="141" spans="1:15" x14ac:dyDescent="0.25">
      <c r="A141" s="26"/>
      <c r="B141" s="26" t="s">
        <v>536</v>
      </c>
      <c r="C141" s="26"/>
      <c r="D141" s="34"/>
      <c r="E141" s="26">
        <v>3</v>
      </c>
      <c r="F141" s="40" t="s">
        <v>525</v>
      </c>
      <c r="G141" t="str">
        <f t="shared" ref="G141:G143" si="29">VLOOKUP(F141,$K$2:$M$186,1,FALSE)</f>
        <v>TOTHRS_WRK</v>
      </c>
      <c r="H141" t="str">
        <f t="shared" ref="H141:H143" si="30">VLOOKUP(F141,$K$2:$M$186,2,FALSE)</f>
        <v>N</v>
      </c>
      <c r="I141">
        <f t="shared" ref="I141:I145" si="31">VLOOKUP(F141,$K$2:$M$186,3,FALSE)</f>
        <v>3</v>
      </c>
      <c r="J141" t="b">
        <f t="shared" si="27"/>
        <v>1</v>
      </c>
      <c r="O141" t="str">
        <f>LOWER(F141)</f>
        <v>tothrs_wrk</v>
      </c>
    </row>
    <row r="142" spans="1:15" x14ac:dyDescent="0.25">
      <c r="A142" s="26"/>
      <c r="B142" s="26" t="s">
        <v>537</v>
      </c>
      <c r="C142" s="26"/>
      <c r="D142" s="34"/>
      <c r="E142" s="26">
        <v>3</v>
      </c>
      <c r="F142" s="40" t="s">
        <v>526</v>
      </c>
      <c r="G142" t="str">
        <f t="shared" si="29"/>
        <v>TOTADL_WRK</v>
      </c>
      <c r="H142" t="str">
        <f t="shared" si="30"/>
        <v>N</v>
      </c>
      <c r="I142">
        <f t="shared" si="31"/>
        <v>3</v>
      </c>
      <c r="J142" t="b">
        <f t="shared" si="27"/>
        <v>1</v>
      </c>
      <c r="O142" t="str">
        <f>LOWER(F142)</f>
        <v>totadl_wrk</v>
      </c>
    </row>
    <row r="143" spans="1:15" x14ac:dyDescent="0.25">
      <c r="A143" s="26">
        <v>132</v>
      </c>
      <c r="B143" s="26" t="s">
        <v>146</v>
      </c>
      <c r="C143" s="26">
        <v>6</v>
      </c>
      <c r="D143" s="34">
        <v>5</v>
      </c>
      <c r="E143" s="26">
        <v>2</v>
      </c>
      <c r="F143" s="28" t="s">
        <v>322</v>
      </c>
      <c r="G143" t="str">
        <f t="shared" si="29"/>
        <v>ACWS</v>
      </c>
      <c r="H143" t="str">
        <f t="shared" si="30"/>
        <v>C</v>
      </c>
      <c r="I143">
        <f t="shared" si="31"/>
        <v>2</v>
      </c>
      <c r="J143" t="b">
        <f t="shared" si="27"/>
        <v>1</v>
      </c>
      <c r="K143" t="s">
        <v>469</v>
      </c>
      <c r="L143" t="s">
        <v>333</v>
      </c>
      <c r="M143">
        <v>2</v>
      </c>
      <c r="N143" t="str">
        <f t="shared" ref="N143:N186" si="32">VLOOKUP(K143,$F$2:$F$151,1,FALSE)</f>
        <v>ind22</v>
      </c>
    </row>
    <row r="144" spans="1:15" x14ac:dyDescent="0.25">
      <c r="A144" s="26">
        <v>133</v>
      </c>
      <c r="B144" s="26" t="s">
        <v>147</v>
      </c>
      <c r="C144" s="26">
        <v>6</v>
      </c>
      <c r="D144" s="34">
        <v>6</v>
      </c>
      <c r="E144" s="26">
        <v>2</v>
      </c>
      <c r="F144" s="28" t="s">
        <v>323</v>
      </c>
      <c r="G144" t="str">
        <f t="shared" ref="G144:G151" si="33">VLOOKUP(F144,$K$2:$M$186,1,FALSE)</f>
        <v>AIND_CWS</v>
      </c>
      <c r="H144" t="str">
        <f t="shared" ref="H144:H151" si="34">VLOOKUP(F144,$K$2:$M$186,2,FALSE)</f>
        <v>C</v>
      </c>
      <c r="I144">
        <f t="shared" si="31"/>
        <v>2</v>
      </c>
      <c r="J144" t="b">
        <f t="shared" si="27"/>
        <v>1</v>
      </c>
      <c r="K144" t="s">
        <v>470</v>
      </c>
      <c r="L144" t="s">
        <v>337</v>
      </c>
      <c r="M144">
        <v>2</v>
      </c>
      <c r="N144" t="str">
        <f t="shared" si="32"/>
        <v>hr22</v>
      </c>
    </row>
    <row r="145" spans="1:14" x14ac:dyDescent="0.25">
      <c r="A145" s="26">
        <v>134</v>
      </c>
      <c r="B145" s="26" t="s">
        <v>148</v>
      </c>
      <c r="C145" s="26">
        <v>6</v>
      </c>
      <c r="D145" s="34">
        <v>7</v>
      </c>
      <c r="E145" s="26">
        <v>3</v>
      </c>
      <c r="F145" s="28" t="s">
        <v>324</v>
      </c>
      <c r="G145" t="str">
        <f t="shared" si="33"/>
        <v>OCU_CWS</v>
      </c>
      <c r="H145" t="str">
        <f t="shared" si="34"/>
        <v>C</v>
      </c>
      <c r="I145">
        <f t="shared" si="31"/>
        <v>3</v>
      </c>
      <c r="J145" t="b">
        <f t="shared" si="27"/>
        <v>1</v>
      </c>
      <c r="K145" t="s">
        <v>471</v>
      </c>
      <c r="L145" t="s">
        <v>337</v>
      </c>
      <c r="M145">
        <v>5</v>
      </c>
      <c r="N145" t="str">
        <f t="shared" si="32"/>
        <v>ern22</v>
      </c>
    </row>
    <row r="146" spans="1:14" x14ac:dyDescent="0.25">
      <c r="A146" s="26">
        <v>135</v>
      </c>
      <c r="B146" s="26" t="s">
        <v>171</v>
      </c>
      <c r="C146" s="26">
        <v>6</v>
      </c>
      <c r="D146" s="34">
        <v>9</v>
      </c>
      <c r="E146" s="26">
        <v>8</v>
      </c>
      <c r="F146" s="28" t="s">
        <v>325</v>
      </c>
      <c r="G146" t="str">
        <f t="shared" si="33"/>
        <v>ERN_REG</v>
      </c>
      <c r="H146" t="str">
        <f t="shared" si="34"/>
        <v>N</v>
      </c>
      <c r="I146">
        <f t="shared" ref="I146:I151" si="35">VLOOKUP(F146,$K$2:$M$186,3,FALSE)</f>
        <v>8</v>
      </c>
      <c r="J146" t="b">
        <f t="shared" si="27"/>
        <v>1</v>
      </c>
      <c r="K146" t="s">
        <v>472</v>
      </c>
      <c r="L146" t="s">
        <v>337</v>
      </c>
      <c r="M146">
        <v>2</v>
      </c>
      <c r="N146" t="str">
        <f t="shared" si="32"/>
        <v>hr2</v>
      </c>
    </row>
    <row r="147" spans="1:14" x14ac:dyDescent="0.25">
      <c r="A147" s="26">
        <v>136</v>
      </c>
      <c r="B147" s="26" t="s">
        <v>172</v>
      </c>
      <c r="C147" s="26">
        <v>6</v>
      </c>
      <c r="D147" s="34">
        <v>10</v>
      </c>
      <c r="E147" s="26">
        <v>8</v>
      </c>
      <c r="F147" s="28" t="s">
        <v>326</v>
      </c>
      <c r="G147" t="str">
        <f t="shared" si="33"/>
        <v>ERN_SELF</v>
      </c>
      <c r="H147" t="str">
        <f t="shared" si="34"/>
        <v>N</v>
      </c>
      <c r="I147">
        <f t="shared" si="35"/>
        <v>8</v>
      </c>
      <c r="J147" t="b">
        <f t="shared" si="27"/>
        <v>1</v>
      </c>
      <c r="K147" t="s">
        <v>473</v>
      </c>
      <c r="L147" t="s">
        <v>337</v>
      </c>
      <c r="M147">
        <v>2</v>
      </c>
      <c r="N147" t="str">
        <f t="shared" si="32"/>
        <v>ahr2</v>
      </c>
    </row>
    <row r="148" spans="1:14" x14ac:dyDescent="0.25">
      <c r="A148" s="26">
        <v>137</v>
      </c>
      <c r="B148" s="26" t="s">
        <v>153</v>
      </c>
      <c r="C148" s="34" t="s">
        <v>30</v>
      </c>
      <c r="D148" s="26"/>
      <c r="E148" s="26">
        <v>3</v>
      </c>
      <c r="F148" s="28" t="s">
        <v>203</v>
      </c>
      <c r="G148" t="e">
        <f t="shared" si="33"/>
        <v>#N/A</v>
      </c>
      <c r="H148" t="e">
        <f t="shared" si="34"/>
        <v>#N/A</v>
      </c>
      <c r="I148" t="e">
        <f t="shared" si="35"/>
        <v>#N/A</v>
      </c>
      <c r="J148" t="e">
        <f t="shared" si="27"/>
        <v>#N/A</v>
      </c>
      <c r="K148" t="s">
        <v>474</v>
      </c>
      <c r="L148" t="s">
        <v>333</v>
      </c>
      <c r="M148">
        <v>2</v>
      </c>
      <c r="N148" t="str">
        <f t="shared" si="32"/>
        <v>das11</v>
      </c>
    </row>
    <row r="149" spans="1:14" x14ac:dyDescent="0.25">
      <c r="A149" s="26">
        <v>138</v>
      </c>
      <c r="B149" s="26" t="s">
        <v>152</v>
      </c>
      <c r="C149" s="34" t="s">
        <v>30</v>
      </c>
      <c r="D149" s="26"/>
      <c r="E149" s="26">
        <v>3</v>
      </c>
      <c r="F149" s="28" t="s">
        <v>204</v>
      </c>
      <c r="G149" t="e">
        <f t="shared" si="33"/>
        <v>#N/A</v>
      </c>
      <c r="H149" t="e">
        <f t="shared" si="34"/>
        <v>#N/A</v>
      </c>
      <c r="I149" t="e">
        <f t="shared" si="35"/>
        <v>#N/A</v>
      </c>
      <c r="J149" t="e">
        <f t="shared" si="27"/>
        <v>#N/A</v>
      </c>
      <c r="K149" t="s">
        <v>475</v>
      </c>
      <c r="L149" t="s">
        <v>333</v>
      </c>
      <c r="M149">
        <v>2</v>
      </c>
      <c r="N149" t="str">
        <f t="shared" si="32"/>
        <v>ind11</v>
      </c>
    </row>
    <row r="150" spans="1:14" x14ac:dyDescent="0.25">
      <c r="A150" s="26">
        <v>139</v>
      </c>
      <c r="B150" s="26" t="s">
        <v>154</v>
      </c>
      <c r="C150" s="34" t="s">
        <v>30</v>
      </c>
      <c r="D150" s="26"/>
      <c r="E150" s="26">
        <v>10</v>
      </c>
      <c r="F150" s="28" t="s">
        <v>205</v>
      </c>
      <c r="G150" t="e">
        <f t="shared" si="33"/>
        <v>#N/A</v>
      </c>
      <c r="H150" t="e">
        <f t="shared" si="34"/>
        <v>#N/A</v>
      </c>
      <c r="I150" t="e">
        <f t="shared" si="35"/>
        <v>#N/A</v>
      </c>
      <c r="J150" t="e">
        <f t="shared" si="27"/>
        <v>#N/A</v>
      </c>
      <c r="K150" t="s">
        <v>476</v>
      </c>
      <c r="L150" t="s">
        <v>337</v>
      </c>
      <c r="M150">
        <v>2</v>
      </c>
      <c r="N150" t="str">
        <f t="shared" si="32"/>
        <v>hr11</v>
      </c>
    </row>
    <row r="151" spans="1:14" x14ac:dyDescent="0.25">
      <c r="B151" s="26" t="s">
        <v>327</v>
      </c>
      <c r="C151" s="34" t="s">
        <v>30</v>
      </c>
      <c r="D151" s="26"/>
      <c r="E151" s="26">
        <v>1</v>
      </c>
      <c r="F151" s="28" t="s">
        <v>206</v>
      </c>
      <c r="G151" t="e">
        <f t="shared" si="33"/>
        <v>#N/A</v>
      </c>
      <c r="H151" t="e">
        <f t="shared" si="34"/>
        <v>#N/A</v>
      </c>
      <c r="I151" t="e">
        <f t="shared" si="35"/>
        <v>#N/A</v>
      </c>
      <c r="J151" t="e">
        <f t="shared" si="27"/>
        <v>#N/A</v>
      </c>
      <c r="K151" t="s">
        <v>477</v>
      </c>
      <c r="L151" t="s">
        <v>337</v>
      </c>
      <c r="M151">
        <v>5</v>
      </c>
      <c r="N151" t="str">
        <f t="shared" si="32"/>
        <v>ern11</v>
      </c>
    </row>
    <row r="152" spans="1:14" x14ac:dyDescent="0.25">
      <c r="J152" t="b">
        <f t="shared" si="27"/>
        <v>1</v>
      </c>
      <c r="K152" t="s">
        <v>478</v>
      </c>
      <c r="L152" t="s">
        <v>333</v>
      </c>
      <c r="M152">
        <v>2</v>
      </c>
      <c r="N152" t="str">
        <f t="shared" si="32"/>
        <v>das21</v>
      </c>
    </row>
    <row r="153" spans="1:14" x14ac:dyDescent="0.25">
      <c r="J153" t="b">
        <f t="shared" si="27"/>
        <v>1</v>
      </c>
      <c r="K153" t="s">
        <v>479</v>
      </c>
      <c r="L153" t="s">
        <v>333</v>
      </c>
      <c r="M153">
        <v>2</v>
      </c>
      <c r="N153" t="str">
        <f t="shared" si="32"/>
        <v>ind21</v>
      </c>
    </row>
    <row r="154" spans="1:14" x14ac:dyDescent="0.25">
      <c r="J154" t="b">
        <f t="shared" si="27"/>
        <v>1</v>
      </c>
      <c r="K154" t="s">
        <v>480</v>
      </c>
      <c r="L154" t="s">
        <v>337</v>
      </c>
      <c r="M154">
        <v>2</v>
      </c>
      <c r="N154" t="str">
        <f t="shared" si="32"/>
        <v>hr21</v>
      </c>
    </row>
    <row r="155" spans="1:14" x14ac:dyDescent="0.25">
      <c r="J155" t="b">
        <f t="shared" si="27"/>
        <v>1</v>
      </c>
      <c r="K155" t="s">
        <v>481</v>
      </c>
      <c r="L155" t="s">
        <v>337</v>
      </c>
      <c r="M155">
        <v>5</v>
      </c>
      <c r="N155" t="str">
        <f t="shared" si="32"/>
        <v>ern21</v>
      </c>
    </row>
    <row r="156" spans="1:14" x14ac:dyDescent="0.25">
      <c r="J156" t="b">
        <f t="shared" si="27"/>
        <v>1</v>
      </c>
      <c r="K156" t="s">
        <v>482</v>
      </c>
      <c r="L156" t="s">
        <v>337</v>
      </c>
      <c r="M156">
        <v>2</v>
      </c>
      <c r="N156" t="str">
        <f t="shared" si="32"/>
        <v>hr1</v>
      </c>
    </row>
    <row r="157" spans="1:14" x14ac:dyDescent="0.25">
      <c r="J157" t="b">
        <f t="shared" si="27"/>
        <v>1</v>
      </c>
      <c r="K157" t="s">
        <v>483</v>
      </c>
      <c r="L157" t="s">
        <v>337</v>
      </c>
      <c r="M157">
        <v>2</v>
      </c>
      <c r="N157" t="str">
        <f t="shared" si="32"/>
        <v>ahr1</v>
      </c>
    </row>
    <row r="158" spans="1:14" x14ac:dyDescent="0.25">
      <c r="J158" t="b">
        <f t="shared" si="27"/>
        <v>1</v>
      </c>
      <c r="K158" s="40" t="s">
        <v>484</v>
      </c>
      <c r="L158" s="40" t="s">
        <v>337</v>
      </c>
      <c r="M158" s="40">
        <v>3</v>
      </c>
      <c r="N158" s="40" t="str">
        <f t="shared" si="32"/>
        <v>tothrs_wrk</v>
      </c>
    </row>
    <row r="159" spans="1:14" x14ac:dyDescent="0.25">
      <c r="J159" t="b">
        <f t="shared" si="27"/>
        <v>1</v>
      </c>
      <c r="K159" s="40" t="s">
        <v>485</v>
      </c>
      <c r="L159" s="40" t="s">
        <v>337</v>
      </c>
      <c r="M159" s="40">
        <v>3</v>
      </c>
      <c r="N159" s="40" t="str">
        <f t="shared" si="32"/>
        <v>totadl_wrk</v>
      </c>
    </row>
    <row r="160" spans="1:14" x14ac:dyDescent="0.25">
      <c r="J160" t="b">
        <f t="shared" si="27"/>
        <v>1</v>
      </c>
      <c r="K160" s="41" t="s">
        <v>486</v>
      </c>
      <c r="L160" s="41" t="s">
        <v>333</v>
      </c>
      <c r="M160" s="41">
        <v>2</v>
      </c>
      <c r="N160" s="41" t="e">
        <f t="shared" si="32"/>
        <v>#N/A</v>
      </c>
    </row>
    <row r="161" spans="10:14" x14ac:dyDescent="0.25">
      <c r="J161" t="b">
        <f t="shared" si="27"/>
        <v>1</v>
      </c>
      <c r="K161" s="39" t="s">
        <v>487</v>
      </c>
      <c r="L161" s="39" t="s">
        <v>333</v>
      </c>
      <c r="M161" s="39">
        <v>100</v>
      </c>
      <c r="N161" s="39" t="e">
        <f t="shared" si="32"/>
        <v>#N/A</v>
      </c>
    </row>
    <row r="162" spans="10:14" x14ac:dyDescent="0.25">
      <c r="J162" t="b">
        <f t="shared" si="27"/>
        <v>1</v>
      </c>
      <c r="K162" s="41" t="s">
        <v>488</v>
      </c>
      <c r="L162" s="41" t="s">
        <v>333</v>
      </c>
      <c r="M162" s="41">
        <v>2</v>
      </c>
      <c r="N162" s="41" t="e">
        <f t="shared" si="32"/>
        <v>#N/A</v>
      </c>
    </row>
    <row r="163" spans="10:14" x14ac:dyDescent="0.25">
      <c r="J163" t="b">
        <f t="shared" si="27"/>
        <v>1</v>
      </c>
      <c r="K163" t="s">
        <v>489</v>
      </c>
      <c r="L163" t="s">
        <v>333</v>
      </c>
      <c r="M163">
        <v>3</v>
      </c>
      <c r="N163" t="str">
        <f t="shared" si="32"/>
        <v>ocu_cws</v>
      </c>
    </row>
    <row r="164" spans="10:14" x14ac:dyDescent="0.25">
      <c r="J164" t="b">
        <f t="shared" si="27"/>
        <v>1</v>
      </c>
      <c r="K164" t="s">
        <v>490</v>
      </c>
      <c r="L164" t="s">
        <v>337</v>
      </c>
      <c r="M164">
        <v>8</v>
      </c>
      <c r="N164" t="str">
        <f t="shared" si="32"/>
        <v>ern_reg</v>
      </c>
    </row>
    <row r="165" spans="10:14" x14ac:dyDescent="0.25">
      <c r="J165" t="b">
        <f t="shared" si="27"/>
        <v>1</v>
      </c>
      <c r="K165" t="s">
        <v>491</v>
      </c>
      <c r="L165" t="s">
        <v>337</v>
      </c>
      <c r="M165">
        <v>8</v>
      </c>
      <c r="N165" t="str">
        <f t="shared" si="32"/>
        <v>ern_self</v>
      </c>
    </row>
    <row r="166" spans="10:14" x14ac:dyDescent="0.25">
      <c r="J166" t="b">
        <f t="shared" si="27"/>
        <v>1</v>
      </c>
      <c r="K166" s="39" t="s">
        <v>348</v>
      </c>
      <c r="L166" s="39" t="s">
        <v>333</v>
      </c>
      <c r="M166" s="39">
        <v>1</v>
      </c>
      <c r="N166" s="39" t="e">
        <f t="shared" si="32"/>
        <v>#N/A</v>
      </c>
    </row>
    <row r="167" spans="10:14" x14ac:dyDescent="0.25">
      <c r="J167" t="b">
        <f t="shared" si="27"/>
        <v>1</v>
      </c>
      <c r="K167" s="39" t="s">
        <v>349</v>
      </c>
      <c r="L167" s="39" t="s">
        <v>333</v>
      </c>
      <c r="M167" s="39">
        <v>20</v>
      </c>
      <c r="N167" s="39" t="e">
        <f t="shared" si="32"/>
        <v>#N/A</v>
      </c>
    </row>
    <row r="168" spans="10:14" x14ac:dyDescent="0.25">
      <c r="J168" t="b">
        <f t="shared" si="27"/>
        <v>1</v>
      </c>
      <c r="K168" s="39" t="s">
        <v>350</v>
      </c>
      <c r="L168" s="39" t="s">
        <v>333</v>
      </c>
      <c r="M168" s="39">
        <v>15</v>
      </c>
      <c r="N168" s="39" t="e">
        <f t="shared" si="32"/>
        <v>#N/A</v>
      </c>
    </row>
    <row r="169" spans="10:14" x14ac:dyDescent="0.25">
      <c r="J169" t="b">
        <f t="shared" si="27"/>
        <v>1</v>
      </c>
      <c r="K169" s="39" t="s">
        <v>492</v>
      </c>
      <c r="L169" s="39" t="s">
        <v>333</v>
      </c>
      <c r="M169" s="39">
        <v>15</v>
      </c>
      <c r="N169" s="39" t="e">
        <f t="shared" si="32"/>
        <v>#N/A</v>
      </c>
    </row>
    <row r="170" spans="10:14" x14ac:dyDescent="0.25">
      <c r="J170" t="b">
        <f t="shared" si="27"/>
        <v>1</v>
      </c>
      <c r="K170" s="39" t="s">
        <v>493</v>
      </c>
      <c r="L170" s="39" t="s">
        <v>333</v>
      </c>
      <c r="M170" s="39">
        <v>15</v>
      </c>
      <c r="N170" s="39" t="e">
        <f t="shared" si="32"/>
        <v>#N/A</v>
      </c>
    </row>
    <row r="171" spans="10:14" x14ac:dyDescent="0.25">
      <c r="J171" t="b">
        <f t="shared" si="27"/>
        <v>1</v>
      </c>
      <c r="K171" s="39" t="s">
        <v>494</v>
      </c>
      <c r="L171" s="39" t="s">
        <v>333</v>
      </c>
      <c r="M171" s="39">
        <v>15</v>
      </c>
      <c r="N171" s="39" t="e">
        <f t="shared" si="32"/>
        <v>#N/A</v>
      </c>
    </row>
    <row r="172" spans="10:14" x14ac:dyDescent="0.25">
      <c r="J172" t="b">
        <f t="shared" si="27"/>
        <v>1</v>
      </c>
      <c r="K172" s="39" t="s">
        <v>495</v>
      </c>
      <c r="L172" s="39" t="s">
        <v>333</v>
      </c>
      <c r="M172" s="39">
        <v>15</v>
      </c>
      <c r="N172" s="39" t="e">
        <f t="shared" si="32"/>
        <v>#N/A</v>
      </c>
    </row>
    <row r="173" spans="10:14" x14ac:dyDescent="0.25">
      <c r="J173" t="b">
        <f t="shared" si="27"/>
        <v>1</v>
      </c>
      <c r="K173" s="39" t="s">
        <v>352</v>
      </c>
      <c r="L173" s="39" t="s">
        <v>333</v>
      </c>
      <c r="M173" s="39">
        <v>15</v>
      </c>
      <c r="N173" s="39" t="e">
        <f t="shared" si="32"/>
        <v>#N/A</v>
      </c>
    </row>
    <row r="174" spans="10:14" x14ac:dyDescent="0.25">
      <c r="J174" t="b">
        <f t="shared" si="27"/>
        <v>1</v>
      </c>
      <c r="K174" t="s">
        <v>496</v>
      </c>
      <c r="L174" t="s">
        <v>333</v>
      </c>
      <c r="M174">
        <v>2</v>
      </c>
      <c r="N174" t="str">
        <f t="shared" si="32"/>
        <v>acws</v>
      </c>
    </row>
    <row r="175" spans="10:14" x14ac:dyDescent="0.25">
      <c r="J175" t="b">
        <f t="shared" si="27"/>
        <v>1</v>
      </c>
      <c r="K175" t="s">
        <v>497</v>
      </c>
      <c r="L175" t="s">
        <v>333</v>
      </c>
      <c r="M175">
        <v>2</v>
      </c>
      <c r="N175" t="str">
        <f t="shared" si="32"/>
        <v>aind_cws</v>
      </c>
    </row>
    <row r="176" spans="10:14" x14ac:dyDescent="0.25">
      <c r="J176" t="b">
        <f t="shared" si="27"/>
        <v>1</v>
      </c>
      <c r="K176" s="39" t="s">
        <v>498</v>
      </c>
      <c r="L176" s="39" t="s">
        <v>337</v>
      </c>
      <c r="M176" s="39">
        <v>1</v>
      </c>
      <c r="N176" s="39" t="e">
        <f t="shared" si="32"/>
        <v>#N/A</v>
      </c>
    </row>
    <row r="177" spans="10:14" x14ac:dyDescent="0.25">
      <c r="J177" t="b">
        <f t="shared" si="27"/>
        <v>1</v>
      </c>
      <c r="K177" s="39" t="s">
        <v>499</v>
      </c>
      <c r="L177" s="39" t="s">
        <v>337</v>
      </c>
      <c r="M177" s="39">
        <v>1</v>
      </c>
      <c r="N177" s="39" t="e">
        <f t="shared" si="32"/>
        <v>#N/A</v>
      </c>
    </row>
    <row r="178" spans="10:14" x14ac:dyDescent="0.25">
      <c r="J178" t="b">
        <f t="shared" si="27"/>
        <v>1</v>
      </c>
      <c r="K178" s="39" t="s">
        <v>500</v>
      </c>
      <c r="L178" s="39" t="s">
        <v>337</v>
      </c>
      <c r="M178" s="39">
        <v>3</v>
      </c>
      <c r="N178" s="39" t="e">
        <f t="shared" si="32"/>
        <v>#N/A</v>
      </c>
    </row>
    <row r="179" spans="10:14" x14ac:dyDescent="0.25">
      <c r="J179" t="b">
        <f t="shared" si="27"/>
        <v>1</v>
      </c>
      <c r="K179" s="39" t="s">
        <v>501</v>
      </c>
      <c r="L179" s="39" t="s">
        <v>337</v>
      </c>
      <c r="M179" s="39">
        <v>3</v>
      </c>
      <c r="N179" s="39" t="e">
        <f t="shared" si="32"/>
        <v>#N/A</v>
      </c>
    </row>
    <row r="180" spans="10:14" x14ac:dyDescent="0.25">
      <c r="J180" t="b">
        <f t="shared" si="27"/>
        <v>1</v>
      </c>
      <c r="K180" s="39" t="s">
        <v>502</v>
      </c>
      <c r="L180" s="39" t="s">
        <v>337</v>
      </c>
      <c r="M180" s="39">
        <v>3</v>
      </c>
      <c r="N180" s="39" t="e">
        <f t="shared" si="32"/>
        <v>#N/A</v>
      </c>
    </row>
    <row r="181" spans="10:14" x14ac:dyDescent="0.25">
      <c r="J181" t="b">
        <f t="shared" si="27"/>
        <v>1</v>
      </c>
      <c r="K181" s="39" t="s">
        <v>503</v>
      </c>
      <c r="L181" s="39" t="s">
        <v>337</v>
      </c>
      <c r="M181" s="39">
        <v>3</v>
      </c>
      <c r="N181" s="39" t="e">
        <f t="shared" si="32"/>
        <v>#N/A</v>
      </c>
    </row>
    <row r="182" spans="10:14" x14ac:dyDescent="0.25">
      <c r="J182" t="b">
        <f t="shared" si="27"/>
        <v>1</v>
      </c>
      <c r="K182" s="39" t="s">
        <v>504</v>
      </c>
      <c r="L182" s="39" t="s">
        <v>337</v>
      </c>
      <c r="M182" s="39">
        <v>1</v>
      </c>
      <c r="N182" s="39" t="e">
        <f t="shared" si="32"/>
        <v>#N/A</v>
      </c>
    </row>
    <row r="183" spans="10:14" x14ac:dyDescent="0.25">
      <c r="J183" t="b">
        <f t="shared" si="27"/>
        <v>1</v>
      </c>
      <c r="K183" s="39" t="s">
        <v>351</v>
      </c>
      <c r="L183" s="39" t="s">
        <v>333</v>
      </c>
      <c r="M183" s="39">
        <v>2</v>
      </c>
      <c r="N183" s="39" t="e">
        <f t="shared" si="32"/>
        <v>#N/A</v>
      </c>
    </row>
    <row r="184" spans="10:14" x14ac:dyDescent="0.25">
      <c r="J184" t="b">
        <f t="shared" si="27"/>
        <v>1</v>
      </c>
      <c r="K184" t="s">
        <v>340</v>
      </c>
      <c r="L184" t="s">
        <v>333</v>
      </c>
      <c r="M184">
        <v>2</v>
      </c>
      <c r="N184" t="str">
        <f t="shared" si="32"/>
        <v>dc</v>
      </c>
    </row>
    <row r="185" spans="10:14" x14ac:dyDescent="0.25">
      <c r="J185" t="b">
        <f t="shared" si="27"/>
        <v>1</v>
      </c>
      <c r="K185" s="39" t="s">
        <v>505</v>
      </c>
      <c r="L185" s="39" t="s">
        <v>333</v>
      </c>
      <c r="M185" s="39">
        <v>2</v>
      </c>
      <c r="N185" s="39" t="e">
        <f t="shared" si="32"/>
        <v>#N/A</v>
      </c>
    </row>
    <row r="186" spans="10:14" x14ac:dyDescent="0.25">
      <c r="J186" t="b">
        <f t="shared" si="27"/>
        <v>1</v>
      </c>
      <c r="K186" s="39" t="s">
        <v>506</v>
      </c>
      <c r="L186" s="39" t="s">
        <v>333</v>
      </c>
      <c r="M186" s="39">
        <v>1</v>
      </c>
      <c r="N186" s="39" t="e">
        <f t="shared" si="32"/>
        <v>#N/A</v>
      </c>
    </row>
  </sheetData>
  <autoFilter ref="A1:P186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Layout</vt:lpstr>
      <vt:lpstr>MHH_Q2_Q4_2025</vt:lpstr>
      <vt:lpstr>MPER_Q2_Q4_2025</vt:lpstr>
      <vt:lpstr>hhrv</vt:lpstr>
      <vt:lpstr>perrv</vt:lpstr>
      <vt:lpstr>perv1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Soumendra</dc:creator>
  <cp:lastModifiedBy>tarak patra</cp:lastModifiedBy>
  <cp:lastPrinted>2019-02-26T09:18:14Z</cp:lastPrinted>
  <dcterms:created xsi:type="dcterms:W3CDTF">2019-02-26T05:25:44Z</dcterms:created>
  <dcterms:modified xsi:type="dcterms:W3CDTF">2026-04-30T09:40:29Z</dcterms:modified>
</cp:coreProperties>
</file>